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279" documentId="8_{135725BA-FB57-4A0F-A1B0-98B331877DA6}" xr6:coauthVersionLast="47" xr6:coauthVersionMax="47" xr10:uidLastSave="{ECEDA640-C19A-435C-8420-217A4479BF99}"/>
  <bookViews>
    <workbookView xWindow="28680" yWindow="-120" windowWidth="29040" windowHeight="15720" activeTab="2" xr2:uid="{00000000-000D-0000-FFFF-FFFF00000000}"/>
  </bookViews>
  <sheets>
    <sheet name="CronogramaDeProjeto" sheetId="11" r:id="rId1"/>
    <sheet name="Sobre" sheetId="12" r:id="rId2"/>
    <sheet name="CronogramaDeProjeto (2)" sheetId="13" r:id="rId3"/>
  </sheets>
  <definedNames>
    <definedName name="Hoje" localSheetId="0">TODAY()</definedName>
    <definedName name="Hoje" localSheetId="2">TODAY()</definedName>
    <definedName name="Início_da_tarefa" localSheetId="0">CronogramaDeProjeto!$E1</definedName>
    <definedName name="Início_da_tarefa" localSheetId="2">'CronogramaDeProjeto (2)'!$E1</definedName>
    <definedName name="Início_do_projeto" localSheetId="2">'CronogramaDeProjeto (2)'!$E$3</definedName>
    <definedName name="Início_do_projeto">CronogramaDeProjeto!$E$3</definedName>
    <definedName name="Progresso_da_tarefa" localSheetId="0">CronogramaDeProjeto!$D1</definedName>
    <definedName name="Progresso_da_tarefa" localSheetId="2">'CronogramaDeProjeto (2)'!$D1</definedName>
    <definedName name="Semana_de_exibição" localSheetId="2">'CronogramaDeProjeto (2)'!$E$4</definedName>
    <definedName name="Semana_de_exibição">CronogramaDeProjeto!$E$4</definedName>
    <definedName name="Término_da_tarefa" localSheetId="0">CronogramaDeProjeto!$F1</definedName>
    <definedName name="Término_da_tarefa" localSheetId="2">'CronogramaDeProjeto (2)'!$F1</definedName>
    <definedName name="_xlnm.Print_Titles" localSheetId="0">CronogramaDeProjeto!$4:$6</definedName>
    <definedName name="_xlnm.Print_Titles" localSheetId="2">'CronogramaDeProjeto (2)'!$4:$6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3" l="1"/>
  <c r="H8" i="13" s="1"/>
  <c r="H45" i="13"/>
  <c r="H35" i="13"/>
  <c r="H34" i="13"/>
  <c r="H33" i="13"/>
  <c r="H32" i="13"/>
  <c r="H31" i="13"/>
  <c r="H30" i="13"/>
  <c r="H29" i="13"/>
  <c r="H28" i="13"/>
  <c r="H27" i="13"/>
  <c r="H26" i="13"/>
  <c r="H25" i="13"/>
  <c r="H24" i="13"/>
  <c r="H21" i="13"/>
  <c r="H20" i="13"/>
  <c r="H19" i="13"/>
  <c r="H18" i="13"/>
  <c r="H17" i="13"/>
  <c r="H16" i="13"/>
  <c r="H12" i="13"/>
  <c r="H11" i="13"/>
  <c r="E10" i="13"/>
  <c r="H10" i="13" s="1"/>
  <c r="H9" i="13"/>
  <c r="H7" i="13"/>
  <c r="H7" i="11"/>
  <c r="E3" i="11"/>
  <c r="E9" i="11" s="1"/>
  <c r="H37" i="11"/>
  <c r="H36" i="11"/>
  <c r="H35" i="11"/>
  <c r="H34" i="11"/>
  <c r="H33" i="11"/>
  <c r="H32" i="11"/>
  <c r="H30" i="11"/>
  <c r="H25" i="11"/>
  <c r="H17" i="11"/>
  <c r="H8" i="11"/>
  <c r="H31" i="11"/>
  <c r="I5" i="13" l="1"/>
  <c r="I5" i="11"/>
  <c r="I6" i="13" l="1"/>
  <c r="J5" i="13"/>
  <c r="I4" i="13"/>
  <c r="H9" i="11"/>
  <c r="I4" i="11"/>
  <c r="I6" i="11"/>
  <c r="J5" i="11"/>
  <c r="E11" i="11"/>
  <c r="H10" i="11"/>
  <c r="J6" i="13" l="1"/>
  <c r="K5" i="13"/>
  <c r="K5" i="11"/>
  <c r="J6" i="11"/>
  <c r="H27" i="11"/>
  <c r="H26" i="11"/>
  <c r="H13" i="11"/>
  <c r="K6" i="13" l="1"/>
  <c r="L5" i="13"/>
  <c r="H11" i="11"/>
  <c r="K6" i="11"/>
  <c r="L5" i="11"/>
  <c r="H18" i="11"/>
  <c r="H12" i="11"/>
  <c r="L6" i="13" l="1"/>
  <c r="M5" i="13"/>
  <c r="M5" i="11"/>
  <c r="L6" i="11"/>
  <c r="H28" i="11"/>
  <c r="H29" i="11"/>
  <c r="M6" i="13" l="1"/>
  <c r="N5" i="13"/>
  <c r="H19" i="11"/>
  <c r="M6" i="11"/>
  <c r="N5" i="11"/>
  <c r="H20" i="11"/>
  <c r="O5" i="13" l="1"/>
  <c r="N6" i="13"/>
  <c r="O5" i="11"/>
  <c r="N6" i="11"/>
  <c r="H21" i="11"/>
  <c r="O6" i="13" l="1"/>
  <c r="P5" i="13"/>
  <c r="O6" i="11"/>
  <c r="P5" i="11"/>
  <c r="H22" i="11"/>
  <c r="P6" i="13" l="1"/>
  <c r="Q5" i="13"/>
  <c r="P4" i="13"/>
  <c r="P6" i="11"/>
  <c r="P4" i="11"/>
  <c r="Q5" i="11"/>
  <c r="Q6" i="13" l="1"/>
  <c r="R5" i="13"/>
  <c r="Q6" i="11"/>
  <c r="R5" i="11"/>
  <c r="R6" i="13" l="1"/>
  <c r="S5" i="13"/>
  <c r="R6" i="11"/>
  <c r="S5" i="11"/>
  <c r="S6" i="13" l="1"/>
  <c r="T5" i="13"/>
  <c r="T5" i="11"/>
  <c r="S6" i="11"/>
  <c r="T6" i="13" l="1"/>
  <c r="U5" i="13"/>
  <c r="U5" i="11"/>
  <c r="T6" i="11"/>
  <c r="U6" i="13" l="1"/>
  <c r="V5" i="13"/>
  <c r="U6" i="11"/>
  <c r="V5" i="11"/>
  <c r="W5" i="13" l="1"/>
  <c r="V6" i="13"/>
  <c r="W5" i="11"/>
  <c r="V6" i="11"/>
  <c r="W4" i="13" l="1"/>
  <c r="W6" i="13"/>
  <c r="X5" i="13"/>
  <c r="X5" i="11"/>
  <c r="W4" i="11"/>
  <c r="W6" i="11"/>
  <c r="X6" i="13" l="1"/>
  <c r="Y5" i="13"/>
  <c r="X6" i="11"/>
  <c r="Y5" i="11"/>
  <c r="Y6" i="13" l="1"/>
  <c r="Z5" i="13"/>
  <c r="Y6" i="11"/>
  <c r="Z5" i="11"/>
  <c r="Z6" i="13" l="1"/>
  <c r="AA5" i="13"/>
  <c r="AA5" i="11"/>
  <c r="Z6" i="11"/>
  <c r="AA6" i="13" l="1"/>
  <c r="AB5" i="13"/>
  <c r="AB5" i="11"/>
  <c r="AA6" i="11"/>
  <c r="AB6" i="13" l="1"/>
  <c r="AC5" i="13"/>
  <c r="AC5" i="11"/>
  <c r="AB6" i="11"/>
  <c r="AC6" i="13" l="1"/>
  <c r="AD5" i="13"/>
  <c r="AC6" i="11"/>
  <c r="AD5" i="11"/>
  <c r="AD6" i="13" l="1"/>
  <c r="AD4" i="13"/>
  <c r="AE5" i="13"/>
  <c r="AE5" i="11"/>
  <c r="AD6" i="11"/>
  <c r="AD4" i="11"/>
  <c r="AE6" i="13" l="1"/>
  <c r="AF5" i="13"/>
  <c r="AF5" i="11"/>
  <c r="AE6" i="11"/>
  <c r="AF6" i="13" l="1"/>
  <c r="AG5" i="13"/>
  <c r="AF6" i="11"/>
  <c r="AG5" i="11"/>
  <c r="AG6" i="13" l="1"/>
  <c r="AH5" i="13"/>
  <c r="AG6" i="11"/>
  <c r="AH5" i="11"/>
  <c r="AH6" i="13" l="1"/>
  <c r="AI5" i="13"/>
  <c r="AI5" i="11"/>
  <c r="AH6" i="11"/>
  <c r="AI6" i="13" l="1"/>
  <c r="AJ5" i="13"/>
  <c r="AJ5" i="11"/>
  <c r="AI6" i="11"/>
  <c r="AJ6" i="13" l="1"/>
  <c r="AK5" i="13"/>
  <c r="AJ6" i="11"/>
  <c r="AK5" i="11"/>
  <c r="AK6" i="13" l="1"/>
  <c r="AL5" i="13"/>
  <c r="AK4" i="13"/>
  <c r="AK6" i="11"/>
  <c r="AL5" i="11"/>
  <c r="AK4" i="11"/>
  <c r="AM5" i="13" l="1"/>
  <c r="AL6" i="13"/>
  <c r="AM5" i="11"/>
  <c r="AL6" i="11"/>
  <c r="AM6" i="13" l="1"/>
  <c r="AN5" i="13"/>
  <c r="AM6" i="11"/>
  <c r="AN5" i="11"/>
  <c r="AO5" i="13" l="1"/>
  <c r="AN6" i="13"/>
  <c r="AO5" i="11"/>
  <c r="AN6" i="11"/>
  <c r="AO6" i="13" l="1"/>
  <c r="AP5" i="13"/>
  <c r="AP5" i="11"/>
  <c r="AO6" i="11"/>
  <c r="AP6" i="13" l="1"/>
  <c r="AQ5" i="13"/>
  <c r="AQ5" i="11"/>
  <c r="AP6" i="11"/>
  <c r="AQ6" i="13" l="1"/>
  <c r="AR5" i="13"/>
  <c r="AR5" i="11"/>
  <c r="AQ6" i="11"/>
  <c r="AR4" i="13" l="1"/>
  <c r="AR6" i="13"/>
  <c r="AS5" i="13"/>
  <c r="AR4" i="11"/>
  <c r="AS5" i="11"/>
  <c r="AR6" i="11"/>
  <c r="AS6" i="13" l="1"/>
  <c r="AT5" i="13"/>
  <c r="AT5" i="11"/>
  <c r="AS6" i="11"/>
  <c r="AU5" i="13" l="1"/>
  <c r="AT6" i="13"/>
  <c r="AU5" i="11"/>
  <c r="AT6" i="11"/>
  <c r="AU6" i="13" l="1"/>
  <c r="AV5" i="13"/>
  <c r="AV5" i="11"/>
  <c r="AU6" i="11"/>
  <c r="AW5" i="13" l="1"/>
  <c r="AV6" i="13"/>
  <c r="AV6" i="11"/>
  <c r="AW5" i="11"/>
  <c r="AW6" i="13" l="1"/>
  <c r="AX5" i="13"/>
  <c r="AX5" i="11"/>
  <c r="AW6" i="11"/>
  <c r="AX6" i="13" l="1"/>
  <c r="AY5" i="13"/>
  <c r="AY5" i="11"/>
  <c r="AX6" i="11"/>
  <c r="AY6" i="13" l="1"/>
  <c r="AZ5" i="13"/>
  <c r="AY4" i="13"/>
  <c r="AY6" i="11"/>
  <c r="AY4" i="11"/>
  <c r="AZ5" i="11"/>
  <c r="AZ6" i="13" l="1"/>
  <c r="BA5" i="13"/>
  <c r="AZ6" i="11"/>
  <c r="BA5" i="11"/>
  <c r="BA6" i="13" l="1"/>
  <c r="BB5" i="13"/>
  <c r="BA6" i="11"/>
  <c r="BB5" i="11"/>
  <c r="BB6" i="13" l="1"/>
  <c r="BC5" i="13"/>
  <c r="BB6" i="11"/>
  <c r="BC5" i="11"/>
  <c r="BC6" i="13" l="1"/>
  <c r="BD5" i="13"/>
  <c r="BD5" i="11"/>
  <c r="BC6" i="11"/>
  <c r="BD6" i="13" l="1"/>
  <c r="BE5" i="13"/>
  <c r="BD6" i="11"/>
  <c r="BE5" i="11"/>
  <c r="BE6" i="13" l="1"/>
  <c r="BF5" i="13"/>
  <c r="BE6" i="11"/>
  <c r="BF5" i="11"/>
  <c r="BF6" i="13" l="1"/>
  <c r="BG5" i="13"/>
  <c r="BF4" i="13"/>
  <c r="BF6" i="11"/>
  <c r="BG5" i="11"/>
  <c r="BF4" i="11"/>
  <c r="BG6" i="13" l="1"/>
  <c r="BH5" i="13"/>
  <c r="BG6" i="11"/>
  <c r="BH5" i="11"/>
  <c r="BH6" i="13" l="1"/>
  <c r="BI5" i="13"/>
  <c r="BH6" i="11"/>
  <c r="BI5" i="11"/>
  <c r="BI6" i="13" l="1"/>
  <c r="BJ5" i="13"/>
  <c r="BI6" i="11"/>
  <c r="BJ5" i="11"/>
  <c r="BK5" i="13" l="1"/>
  <c r="BJ6" i="13"/>
  <c r="BJ6" i="11"/>
  <c r="BK5" i="11"/>
  <c r="BK6" i="13" l="1"/>
  <c r="BL5" i="13"/>
  <c r="BL5" i="11"/>
  <c r="BK6" i="11"/>
  <c r="BL6" i="13" l="1"/>
  <c r="BM5" i="13"/>
  <c r="BL6" i="11"/>
  <c r="BM5" i="11"/>
  <c r="BM6" i="13" l="1"/>
  <c r="BN5" i="13"/>
  <c r="BM4" i="13"/>
  <c r="BN5" i="11"/>
  <c r="BM4" i="11"/>
  <c r="BM6" i="11"/>
  <c r="BN6" i="13" l="1"/>
  <c r="BO5" i="13"/>
  <c r="BO5" i="11"/>
  <c r="BN6" i="11"/>
  <c r="BO6" i="13" l="1"/>
  <c r="BP5" i="13"/>
  <c r="BP5" i="11"/>
  <c r="BO6" i="11"/>
  <c r="BP6" i="13" l="1"/>
  <c r="BQ5" i="13"/>
  <c r="BP6" i="11"/>
  <c r="BQ5" i="11"/>
  <c r="BQ6" i="13" l="1"/>
  <c r="BR5" i="13"/>
  <c r="BQ6" i="11"/>
  <c r="BR5" i="11"/>
  <c r="BR6" i="13" l="1"/>
  <c r="BS5" i="13"/>
  <c r="BS5" i="11"/>
  <c r="BR6" i="11"/>
  <c r="BS6" i="13" l="1"/>
  <c r="BT5" i="13"/>
  <c r="BS6" i="11"/>
  <c r="BT5" i="11"/>
  <c r="BT4" i="13" l="1"/>
  <c r="BT6" i="13"/>
  <c r="BU5" i="13"/>
  <c r="BT6" i="11"/>
  <c r="BT4" i="11"/>
  <c r="BU5" i="11"/>
  <c r="BU6" i="13" l="1"/>
  <c r="BV5" i="13"/>
  <c r="BV5" i="11"/>
  <c r="BU6" i="11"/>
  <c r="BV6" i="13" l="1"/>
  <c r="BW5" i="13"/>
  <c r="BV6" i="11"/>
  <c r="BW5" i="11"/>
  <c r="BW6" i="13" l="1"/>
  <c r="BX5" i="13"/>
  <c r="BX5" i="11"/>
  <c r="BW6" i="11"/>
  <c r="BX6" i="13" l="1"/>
  <c r="BY5" i="13"/>
  <c r="BY5" i="11"/>
  <c r="BX6" i="11"/>
  <c r="BY6" i="13" l="1"/>
  <c r="BZ5" i="13"/>
  <c r="BY6" i="11"/>
  <c r="BZ5" i="11"/>
  <c r="BZ6" i="13" l="1"/>
  <c r="CA5" i="13"/>
  <c r="BZ6" i="11"/>
  <c r="CA5" i="11"/>
  <c r="CA4" i="13" l="1"/>
  <c r="CA6" i="13"/>
  <c r="CB5" i="13"/>
  <c r="CB5" i="11"/>
  <c r="CA6" i="11"/>
  <c r="CA4" i="11"/>
  <c r="CC5" i="13" l="1"/>
  <c r="CB6" i="13"/>
  <c r="CB6" i="11"/>
  <c r="CC5" i="11"/>
  <c r="CC6" i="13" l="1"/>
  <c r="CD5" i="13"/>
  <c r="CD5" i="11"/>
  <c r="CC6" i="11"/>
  <c r="CD6" i="13" l="1"/>
  <c r="CE5" i="13"/>
  <c r="CE5" i="11"/>
  <c r="CD6" i="11"/>
  <c r="CE6" i="13" l="1"/>
  <c r="CF5" i="13"/>
  <c r="CF5" i="11"/>
  <c r="CE6" i="11"/>
  <c r="CF6" i="13" l="1"/>
  <c r="CG5" i="13"/>
  <c r="CF6" i="11"/>
  <c r="CG5" i="11"/>
  <c r="CG6" i="13" l="1"/>
  <c r="CH5" i="13"/>
  <c r="CG6" i="11"/>
  <c r="CH5" i="11"/>
  <c r="CH4" i="13" l="1"/>
  <c r="CH6" i="13"/>
  <c r="CI5" i="13"/>
  <c r="CI5" i="11"/>
  <c r="CH4" i="11"/>
  <c r="CH6" i="11"/>
  <c r="CI6" i="13" l="1"/>
  <c r="CJ5" i="13"/>
  <c r="CJ5" i="11"/>
  <c r="CI6" i="11"/>
  <c r="CJ6" i="13" l="1"/>
  <c r="CK5" i="13"/>
  <c r="CK5" i="11"/>
  <c r="CJ6" i="11"/>
  <c r="CK6" i="13" l="1"/>
  <c r="CL5" i="13"/>
  <c r="CL5" i="11"/>
  <c r="CK6" i="11"/>
  <c r="CL6" i="13" l="1"/>
  <c r="CM5" i="13"/>
  <c r="CM5" i="11"/>
  <c r="CL6" i="11"/>
  <c r="CM6" i="13" l="1"/>
  <c r="CN5" i="13"/>
  <c r="CM6" i="11"/>
  <c r="CN5" i="11"/>
  <c r="CN6" i="13" l="1"/>
  <c r="CO5" i="13"/>
  <c r="CN6" i="11"/>
  <c r="CO5" i="11"/>
  <c r="CO6" i="13" l="1"/>
  <c r="CP5" i="13"/>
  <c r="CO4" i="13"/>
  <c r="CO6" i="11"/>
  <c r="CO4" i="11"/>
  <c r="CP5" i="11"/>
  <c r="CQ5" i="13" l="1"/>
  <c r="CP6" i="13"/>
  <c r="CQ5" i="11"/>
  <c r="CP6" i="11"/>
  <c r="CQ6" i="13" l="1"/>
  <c r="CR5" i="13"/>
  <c r="CQ6" i="11"/>
  <c r="CR5" i="11"/>
  <c r="CR6" i="13" l="1"/>
  <c r="CS5" i="13"/>
  <c r="CS5" i="11"/>
  <c r="CR6" i="11"/>
  <c r="CS6" i="13" l="1"/>
  <c r="CT5" i="13"/>
  <c r="CT5" i="11"/>
  <c r="CS6" i="11"/>
  <c r="CT6" i="13" l="1"/>
  <c r="CU5" i="13"/>
  <c r="CT6" i="11"/>
  <c r="CU5" i="11"/>
  <c r="CU6" i="13" l="1"/>
  <c r="CV5" i="13"/>
  <c r="CU6" i="11"/>
  <c r="CV5" i="11"/>
  <c r="CV6" i="13" l="1"/>
  <c r="CW5" i="13"/>
  <c r="CV4" i="13"/>
  <c r="CW5" i="11"/>
  <c r="CV6" i="11"/>
  <c r="CV4" i="11"/>
  <c r="CW6" i="13" l="1"/>
  <c r="CX5" i="13"/>
  <c r="CX5" i="11"/>
  <c r="CW6" i="11"/>
  <c r="CY5" i="13" l="1"/>
  <c r="CX6" i="13"/>
  <c r="CY5" i="11"/>
  <c r="CX6" i="11"/>
  <c r="CY6" i="13" l="1"/>
  <c r="CZ5" i="13"/>
  <c r="CZ5" i="11"/>
  <c r="CY6" i="11"/>
  <c r="DA5" i="13" l="1"/>
  <c r="CZ6" i="13"/>
  <c r="DA5" i="11"/>
  <c r="CZ6" i="11"/>
  <c r="DA6" i="13" l="1"/>
  <c r="DB5" i="13"/>
  <c r="DA6" i="11"/>
  <c r="DB5" i="11"/>
  <c r="DB6" i="13" l="1"/>
  <c r="DC5" i="13"/>
  <c r="DB6" i="11"/>
  <c r="DC5" i="11"/>
  <c r="DC6" i="13" l="1"/>
  <c r="DD5" i="13"/>
  <c r="DC4" i="13"/>
  <c r="DD5" i="11"/>
  <c r="DC6" i="11"/>
  <c r="DC4" i="11"/>
  <c r="DD6" i="13" l="1"/>
  <c r="DE5" i="13"/>
  <c r="DE5" i="11"/>
  <c r="DD6" i="11"/>
  <c r="DE6" i="13" l="1"/>
  <c r="DF5" i="13"/>
  <c r="DF5" i="11"/>
  <c r="DE6" i="11"/>
  <c r="DG5" i="13" l="1"/>
  <c r="DF6" i="13"/>
  <c r="DG5" i="11"/>
  <c r="DF6" i="11"/>
  <c r="DG6" i="13" l="1"/>
  <c r="DH5" i="13"/>
  <c r="DH5" i="11"/>
  <c r="DG6" i="11"/>
  <c r="DH6" i="13" l="1"/>
  <c r="DI5" i="13"/>
  <c r="DH6" i="11"/>
  <c r="DI5" i="11"/>
  <c r="DI6" i="11" s="1"/>
  <c r="DI6" i="13" l="1"/>
  <c r="DJ5" i="13"/>
  <c r="DK5" i="13" l="1"/>
  <c r="DJ6" i="13"/>
  <c r="DJ4" i="13"/>
  <c r="DL5" i="13" l="1"/>
  <c r="DK6" i="13"/>
  <c r="DL6" i="13" l="1"/>
  <c r="DM5" i="13"/>
  <c r="DM6" i="13" l="1"/>
  <c r="DN5" i="13"/>
  <c r="DO5" i="13" l="1"/>
  <c r="DN6" i="13"/>
  <c r="DP5" i="13" l="1"/>
  <c r="DO6" i="13"/>
  <c r="DP6" i="13" l="1"/>
  <c r="DQ5" i="13"/>
  <c r="DQ4" i="13" l="1"/>
  <c r="DR5" i="13"/>
  <c r="DQ6" i="13"/>
  <c r="DS5" i="13" l="1"/>
  <c r="DR6" i="13"/>
  <c r="DT5" i="13" l="1"/>
  <c r="DS6" i="13"/>
  <c r="DU5" i="13" l="1"/>
  <c r="DT6" i="13"/>
  <c r="DV5" i="13" l="1"/>
  <c r="DU6" i="13"/>
  <c r="DV6" i="13" l="1"/>
  <c r="DW5" i="13"/>
  <c r="DW6" i="13" l="1"/>
  <c r="DX5" i="13"/>
  <c r="DY5" i="13" l="1"/>
  <c r="DX4" i="13"/>
  <c r="DX6" i="13"/>
  <c r="DZ5" i="13" l="1"/>
  <c r="DY6" i="13"/>
  <c r="EA5" i="13" l="1"/>
  <c r="DZ6" i="13"/>
  <c r="EA6" i="13" l="1"/>
  <c r="EB5" i="13"/>
  <c r="EB6" i="13" l="1"/>
  <c r="EC5" i="13"/>
  <c r="ED5" i="13" l="1"/>
  <c r="EC6" i="13"/>
  <c r="ED6" i="13" l="1"/>
  <c r="EE5" i="13"/>
  <c r="EF5" i="13" l="1"/>
  <c r="EE4" i="13"/>
  <c r="EE6" i="13"/>
  <c r="EF6" i="13" l="1"/>
  <c r="EG5" i="13"/>
  <c r="EH5" i="13" l="1"/>
  <c r="EG6" i="13"/>
  <c r="EH6" i="13" l="1"/>
  <c r="EI5" i="13"/>
  <c r="EJ5" i="13" l="1"/>
  <c r="EI6" i="13"/>
  <c r="EJ6" i="13" l="1"/>
  <c r="EK5" i="13"/>
  <c r="EK6" i="13" l="1"/>
  <c r="EL5" i="13"/>
  <c r="EM5" i="13" l="1"/>
  <c r="EL4" i="13"/>
  <c r="EL6" i="13"/>
  <c r="EM6" i="13" l="1"/>
  <c r="EN5" i="13"/>
  <c r="EO5" i="13" l="1"/>
  <c r="EN6" i="13"/>
  <c r="EO6" i="13" l="1"/>
  <c r="EP5" i="13"/>
  <c r="EQ5" i="13" l="1"/>
  <c r="EP6" i="13"/>
  <c r="ER5" i="13" l="1"/>
  <c r="EQ6" i="13"/>
  <c r="ER6" i="13" l="1"/>
  <c r="ES5" i="13"/>
  <c r="ET5" i="13" l="1"/>
  <c r="ES6" i="13"/>
  <c r="ES4" i="13"/>
  <c r="EU5" i="13" l="1"/>
  <c r="ET6" i="13"/>
  <c r="EV5" i="13" l="1"/>
  <c r="EU6" i="13"/>
  <c r="EW5" i="13" l="1"/>
  <c r="EV6" i="13"/>
  <c r="EW6" i="13" l="1"/>
  <c r="EX5" i="13"/>
  <c r="EX6" i="13" l="1"/>
  <c r="EY5" i="13"/>
  <c r="EY6" i="13" l="1"/>
  <c r="EZ5" i="13"/>
  <c r="FA5" i="13" l="1"/>
  <c r="EZ4" i="13"/>
  <c r="EZ6" i="13"/>
  <c r="FB5" i="13" l="1"/>
  <c r="FA6" i="13"/>
  <c r="FB6" i="13" l="1"/>
  <c r="FC5" i="13"/>
  <c r="FD5" i="13" l="1"/>
  <c r="FC6" i="13"/>
  <c r="FD6" i="13" l="1"/>
  <c r="FE5" i="13"/>
  <c r="FE6" i="13" l="1"/>
  <c r="FF5" i="13"/>
  <c r="FF6" i="13" l="1"/>
  <c r="FG5" i="13"/>
  <c r="FH5" i="13" l="1"/>
  <c r="FG6" i="13"/>
  <c r="FG4" i="13"/>
  <c r="FI5" i="13" l="1"/>
  <c r="FH6" i="13"/>
  <c r="FI6" i="13" l="1"/>
  <c r="FJ5" i="13"/>
  <c r="FK5" i="13" l="1"/>
  <c r="FJ6" i="13"/>
  <c r="FL5" i="13" l="1"/>
  <c r="FK6" i="13"/>
  <c r="FL6" i="13" l="1"/>
  <c r="FM5" i="13"/>
  <c r="FM6" i="13" l="1"/>
  <c r="FN5" i="13"/>
  <c r="FO5" i="13" l="1"/>
  <c r="FN6" i="13"/>
  <c r="FN4" i="13"/>
  <c r="FP5" i="13" l="1"/>
  <c r="FO6" i="13"/>
  <c r="FQ5" i="13" l="1"/>
  <c r="FP6" i="13"/>
  <c r="FQ6" i="13" l="1"/>
  <c r="FR5" i="13"/>
  <c r="FS5" i="13" l="1"/>
  <c r="FR6" i="13"/>
  <c r="FS6" i="13" l="1"/>
  <c r="FT5" i="13"/>
  <c r="FT6" i="13" l="1"/>
  <c r="FU5" i="13"/>
  <c r="FU4" i="13" l="1"/>
  <c r="FU6" i="13"/>
  <c r="FV5" i="13"/>
  <c r="FW5" i="13" l="1"/>
  <c r="FV6" i="13"/>
  <c r="FX5" i="13" l="1"/>
  <c r="FW6" i="13"/>
  <c r="FY5" i="13" l="1"/>
  <c r="FX6" i="13"/>
  <c r="FY6" i="13" l="1"/>
  <c r="FZ5" i="13"/>
  <c r="FZ6" i="13" l="1"/>
  <c r="GA5" i="13"/>
  <c r="GA6" i="13" l="1"/>
  <c r="GB5" i="13"/>
  <c r="GC5" i="13" l="1"/>
  <c r="GB6" i="13"/>
  <c r="GB4" i="13"/>
  <c r="GD5" i="13" l="1"/>
  <c r="GC6" i="13"/>
  <c r="GD6" i="13" l="1"/>
  <c r="GE5" i="13"/>
  <c r="GF5" i="13" l="1"/>
  <c r="GE6" i="13"/>
  <c r="GF6" i="13" l="1"/>
  <c r="GG5" i="13"/>
  <c r="GH5" i="13" l="1"/>
  <c r="GG6" i="13"/>
  <c r="GH6" i="13" l="1"/>
  <c r="GI5" i="13"/>
  <c r="GJ5" i="13" l="1"/>
  <c r="GI6" i="13"/>
  <c r="GI4" i="13"/>
  <c r="GK5" i="13" l="1"/>
  <c r="GJ6" i="13"/>
  <c r="GL5" i="13" l="1"/>
  <c r="GK6" i="13"/>
  <c r="GM5" i="13" l="1"/>
  <c r="GL6" i="13"/>
  <c r="GM6" i="13" l="1"/>
  <c r="GN5" i="13"/>
  <c r="GN6" i="13" l="1"/>
  <c r="GO5" i="13"/>
  <c r="GO6" i="13" l="1"/>
  <c r="GP5" i="13"/>
  <c r="GP4" i="13" l="1"/>
  <c r="GQ5" i="13"/>
  <c r="GP6" i="13"/>
  <c r="GR5" i="13" l="1"/>
  <c r="GQ6" i="13"/>
  <c r="GS5" i="13" l="1"/>
  <c r="GR6" i="13"/>
  <c r="GT5" i="13" l="1"/>
  <c r="GS6" i="13"/>
  <c r="GU5" i="13" l="1"/>
  <c r="GT6" i="13"/>
  <c r="GU6" i="13" l="1"/>
  <c r="GV5" i="13"/>
  <c r="GV6" i="13" l="1"/>
  <c r="GW5" i="13"/>
  <c r="GX5" i="13" l="1"/>
  <c r="GW6" i="13"/>
  <c r="GW4" i="13"/>
  <c r="GX6" i="13" l="1"/>
  <c r="GY5" i="13"/>
  <c r="GZ5" i="13" l="1"/>
  <c r="GY6" i="13"/>
  <c r="HA5" i="13" l="1"/>
  <c r="GZ6" i="13"/>
  <c r="HB5" i="13" l="1"/>
  <c r="HA6" i="13"/>
  <c r="HB6" i="13" l="1"/>
  <c r="HC5" i="13"/>
  <c r="HC6" i="13" l="1"/>
  <c r="HD5" i="13"/>
  <c r="HD4" i="13" l="1"/>
  <c r="HD6" i="13"/>
  <c r="HE5" i="13"/>
  <c r="HE6" i="13" l="1"/>
  <c r="HF5" i="13"/>
  <c r="HG5" i="13" l="1"/>
  <c r="HF6" i="13"/>
  <c r="HH5" i="13" l="1"/>
  <c r="HG6" i="13"/>
  <c r="HI5" i="13" l="1"/>
  <c r="HH6" i="13"/>
  <c r="HI6" i="13" l="1"/>
  <c r="HJ5" i="13"/>
  <c r="HJ6" i="13" l="1"/>
  <c r="HK5" i="13"/>
  <c r="HL5" i="13" l="1"/>
  <c r="HK6" i="13"/>
  <c r="HK4" i="13"/>
  <c r="HL6" i="13" l="1"/>
  <c r="HM5" i="13"/>
  <c r="HM6" i="13" l="1"/>
  <c r="HN5" i="13"/>
  <c r="HN6" i="13" l="1"/>
  <c r="HO5" i="13"/>
  <c r="HP5" i="13" l="1"/>
  <c r="HO6" i="13"/>
  <c r="HP6" i="13" l="1"/>
  <c r="HQ5" i="13"/>
  <c r="HQ6" i="13" l="1"/>
  <c r="HR5" i="13"/>
  <c r="HS5" i="13" l="1"/>
  <c r="HR6" i="13"/>
  <c r="HR4" i="13"/>
  <c r="HT5" i="13" l="1"/>
  <c r="HS6" i="13"/>
  <c r="HU5" i="13" l="1"/>
  <c r="HT6" i="13"/>
  <c r="HU6" i="13" l="1"/>
  <c r="HV5" i="13"/>
  <c r="HW5" i="13" l="1"/>
  <c r="HV6" i="13"/>
  <c r="HX5" i="13" l="1"/>
  <c r="HW6" i="13"/>
  <c r="HX6" i="13" l="1"/>
  <c r="HY5" i="13"/>
  <c r="HZ5" i="13" l="1"/>
  <c r="HY4" i="13"/>
  <c r="HY6" i="13"/>
  <c r="IA5" i="13" l="1"/>
  <c r="HZ6" i="13"/>
  <c r="IB5" i="13" l="1"/>
  <c r="IA6" i="13"/>
  <c r="IC5" i="13" l="1"/>
  <c r="IB6" i="13"/>
  <c r="ID5" i="13" l="1"/>
  <c r="IC6" i="13"/>
  <c r="ID6" i="13" l="1"/>
  <c r="IE5" i="13"/>
  <c r="IE6" i="13" l="1"/>
  <c r="IF5" i="13"/>
  <c r="IG5" i="13" l="1"/>
  <c r="IF6" i="13"/>
  <c r="IF4" i="13"/>
  <c r="IH5" i="13" l="1"/>
  <c r="IG6" i="13"/>
  <c r="II5" i="13" l="1"/>
  <c r="IH6" i="13"/>
  <c r="IJ5" i="13" l="1"/>
  <c r="II6" i="13"/>
  <c r="IK5" i="13" l="1"/>
  <c r="IJ6" i="13"/>
  <c r="IK6" i="13" l="1"/>
  <c r="IL5" i="13"/>
  <c r="IL6" i="13" l="1"/>
  <c r="IM5" i="13"/>
  <c r="IM4" i="13" l="1"/>
  <c r="IN5" i="13"/>
  <c r="IM6" i="13"/>
  <c r="IO5" i="13" l="1"/>
  <c r="IN6" i="13"/>
  <c r="IP5" i="13" l="1"/>
  <c r="IO6" i="13"/>
  <c r="IQ5" i="13" l="1"/>
  <c r="IP6" i="13"/>
  <c r="IR5" i="13" l="1"/>
  <c r="IQ6" i="13"/>
  <c r="IS5" i="13" l="1"/>
  <c r="IR6" i="13"/>
  <c r="IS6" i="13" l="1"/>
  <c r="IT5" i="13"/>
  <c r="IU5" i="13" l="1"/>
  <c r="IT4" i="13"/>
  <c r="IT6" i="13"/>
  <c r="IU6" i="13" l="1"/>
  <c r="IV5" i="13"/>
  <c r="IW5" i="13" l="1"/>
  <c r="IV6" i="13"/>
  <c r="IW6" i="13" l="1"/>
  <c r="IX5" i="13"/>
  <c r="IY5" i="13" l="1"/>
  <c r="IX6" i="13"/>
  <c r="IY6" i="13" l="1"/>
  <c r="IZ5" i="13"/>
  <c r="IZ6" i="13" l="1"/>
  <c r="JA5" i="13"/>
  <c r="JB5" i="13" l="1"/>
  <c r="JA6" i="13"/>
  <c r="JA4" i="13"/>
  <c r="JC5" i="13" l="1"/>
  <c r="JB6" i="13"/>
  <c r="JD5" i="13" l="1"/>
  <c r="JC6" i="13"/>
  <c r="JE5" i="13" l="1"/>
  <c r="JD6" i="13"/>
  <c r="JE6" i="13" l="1"/>
  <c r="JF5" i="13"/>
  <c r="JF6" i="13" l="1"/>
  <c r="JG5" i="13"/>
  <c r="JG6" i="13" l="1"/>
  <c r="JH5" i="13"/>
  <c r="JI5" i="13" l="1"/>
  <c r="JH6" i="13"/>
  <c r="JH4" i="13"/>
  <c r="JI6" i="13" l="1"/>
  <c r="JJ5" i="13"/>
  <c r="JK5" i="13" l="1"/>
  <c r="JJ6" i="13"/>
  <c r="JL5" i="13" l="1"/>
  <c r="JK6" i="13"/>
  <c r="JM5" i="13" l="1"/>
  <c r="JL6" i="13"/>
  <c r="JM6" i="13" l="1"/>
  <c r="JN5" i="13"/>
  <c r="JN6" i="13" l="1"/>
  <c r="JO5" i="13"/>
  <c r="JO6" i="13" l="1"/>
  <c r="JO4" i="13"/>
  <c r="JP5" i="13"/>
  <c r="JP6" i="13" l="1"/>
  <c r="JQ5" i="13"/>
  <c r="JR5" i="13" l="1"/>
  <c r="JQ6" i="13"/>
  <c r="JS5" i="13" l="1"/>
  <c r="JR6" i="13"/>
  <c r="JS6" i="13" l="1"/>
  <c r="JT5" i="13"/>
  <c r="JU5" i="13" l="1"/>
  <c r="JT6" i="13"/>
  <c r="JU6" i="13" l="1"/>
  <c r="JV5" i="13"/>
  <c r="JW5" i="13" l="1"/>
  <c r="JV4" i="13"/>
  <c r="JV6" i="13"/>
  <c r="JW6" i="13" l="1"/>
  <c r="JX5" i="13"/>
  <c r="JY5" i="13" l="1"/>
  <c r="JX6" i="13"/>
  <c r="JY6" i="13" l="1"/>
  <c r="JZ5" i="13"/>
  <c r="KA5" i="13" l="1"/>
  <c r="JZ6" i="13"/>
  <c r="KA6" i="13" l="1"/>
  <c r="KB5" i="13"/>
  <c r="KB6" i="13" l="1"/>
  <c r="KC5" i="13"/>
  <c r="KD5" i="13" l="1"/>
  <c r="KC4" i="13"/>
  <c r="KC6" i="13"/>
  <c r="KD6" i="13" l="1"/>
  <c r="KE5" i="13"/>
  <c r="KF5" i="13" l="1"/>
  <c r="KE6" i="13"/>
  <c r="KG5" i="13" l="1"/>
  <c r="KF6" i="13"/>
  <c r="KH5" i="13" l="1"/>
  <c r="KG6" i="13"/>
  <c r="KH6" i="13" l="1"/>
  <c r="KI5" i="13"/>
  <c r="KI6" i="13" l="1"/>
  <c r="KJ5" i="13"/>
  <c r="KJ6" i="13" l="1"/>
  <c r="KJ4" i="13"/>
  <c r="KK5" i="13"/>
  <c r="KL5" i="13" l="1"/>
  <c r="KK6" i="13"/>
  <c r="KL6" i="13" l="1"/>
  <c r="KM5" i="13"/>
  <c r="KM6" i="13" l="1"/>
  <c r="KN5" i="13"/>
  <c r="KO5" i="13" l="1"/>
  <c r="KN6" i="13"/>
  <c r="KP5" i="13" l="1"/>
  <c r="KO6" i="13"/>
  <c r="KP6" i="13" l="1"/>
  <c r="KQ5" i="13"/>
  <c r="KQ6" i="13" l="1"/>
  <c r="KR5" i="13"/>
  <c r="KQ4" i="13"/>
  <c r="KS5" i="13" l="1"/>
  <c r="KR6" i="13"/>
  <c r="KT5" i="13" l="1"/>
  <c r="KS6" i="13"/>
  <c r="KU5" i="13" l="1"/>
  <c r="KT6" i="13"/>
  <c r="KV5" i="13" l="1"/>
  <c r="KU6" i="13"/>
  <c r="KW5" i="13" l="1"/>
  <c r="KV6" i="13"/>
  <c r="KW6" i="13" l="1"/>
  <c r="KX5" i="13"/>
  <c r="KY5" i="13" l="1"/>
  <c r="KX6" i="13"/>
  <c r="KX4" i="13"/>
  <c r="KZ5" i="13" l="1"/>
  <c r="KY6" i="13"/>
  <c r="LA5" i="13" l="1"/>
  <c r="KZ6" i="13"/>
  <c r="LA6" i="13" l="1"/>
  <c r="LB5" i="13"/>
  <c r="LB6" i="13" l="1"/>
  <c r="LC5" i="13"/>
  <c r="LC6" i="13" l="1"/>
  <c r="LD5" i="13"/>
  <c r="LD6" i="13" l="1"/>
  <c r="LE5" i="13"/>
  <c r="LF5" i="13" l="1"/>
  <c r="LE4" i="13"/>
  <c r="LE6" i="13"/>
  <c r="LG5" i="13" l="1"/>
  <c r="LF6" i="13"/>
  <c r="LH5" i="13" l="1"/>
  <c r="LG6" i="13"/>
  <c r="LI5" i="13" l="1"/>
  <c r="LH6" i="13"/>
  <c r="LI6" i="13" l="1"/>
  <c r="LJ5" i="13"/>
  <c r="LJ6" i="13" l="1"/>
  <c r="LK5" i="13"/>
  <c r="LK6" i="13" s="1"/>
</calcChain>
</file>

<file path=xl/sharedStrings.xml><?xml version="1.0" encoding="utf-8"?>
<sst xmlns="http://schemas.openxmlformats.org/spreadsheetml/2006/main" count="185" uniqueCount="80">
  <si>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</si>
  <si>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</si>
  <si>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</si>
  <si>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</si>
  <si>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</si>
  <si>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</si>
  <si>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</si>
  <si>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</si>
  <si>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</si>
  <si>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</si>
  <si>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</si>
  <si>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</si>
  <si>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</si>
  <si>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</si>
  <si>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TAREFA</t>
  </si>
  <si>
    <t>Insira novas linhas ACIMA desta</t>
  </si>
  <si>
    <t>Início do projeto:</t>
  </si>
  <si>
    <t>Semana de exibição:</t>
  </si>
  <si>
    <t>ATRIBUÍDO
PARA</t>
  </si>
  <si>
    <t>PROGRESSO</t>
  </si>
  <si>
    <t>INÍCIO</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</si>
  <si>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</si>
  <si>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</si>
  <si>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</si>
  <si>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</si>
  <si>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</si>
  <si>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</si>
  <si>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</si>
  <si>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</si>
  <si>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</si>
  <si>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</si>
  <si>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</si>
  <si>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</si>
  <si>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</si>
  <si>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</si>
  <si>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</si>
  <si>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</si>
  <si>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</si>
  <si>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E-commerce</t>
  </si>
  <si>
    <t>Matheus Rodrigues de Jesus</t>
  </si>
  <si>
    <t>a definir</t>
  </si>
  <si>
    <t>Introdução</t>
  </si>
  <si>
    <t>Emily Oliveira</t>
  </si>
  <si>
    <t>Objetivo</t>
  </si>
  <si>
    <t>Matheus Rodrigues</t>
  </si>
  <si>
    <t>Delimetação do estudo</t>
  </si>
  <si>
    <t>Felipe Macena</t>
  </si>
  <si>
    <t>Relevância da pesquisa</t>
  </si>
  <si>
    <t>Metodologia</t>
  </si>
  <si>
    <t>Estrutura da documentação tecnica</t>
  </si>
  <si>
    <t>Cronograma</t>
  </si>
  <si>
    <t>Orçamento</t>
  </si>
  <si>
    <t>Embasamento teórico</t>
  </si>
  <si>
    <t>Referencial teórico</t>
  </si>
  <si>
    <t>A definir</t>
  </si>
  <si>
    <t>Proposta de aplicação</t>
  </si>
  <si>
    <t>Descrição de aplicação</t>
  </si>
  <si>
    <t>Modelagem dos requisitos</t>
  </si>
  <si>
    <t>Casos de uso</t>
  </si>
  <si>
    <t>Diagrama de Classes</t>
  </si>
  <si>
    <t>Regras de négocio</t>
  </si>
  <si>
    <t>Modelagens e Prototipação</t>
  </si>
  <si>
    <t>Protótipo da aplicação</t>
  </si>
  <si>
    <t>Modelagem do banco de dados</t>
  </si>
  <si>
    <t>Arquitetura da aplicação</t>
  </si>
  <si>
    <t>Acessibilidade</t>
  </si>
  <si>
    <t>Final Tcc 1</t>
  </si>
  <si>
    <t>Resumo</t>
  </si>
  <si>
    <t>Abstract</t>
  </si>
  <si>
    <t>Considerações finais</t>
  </si>
  <si>
    <t>Trabalhos futuros</t>
  </si>
  <si>
    <t>Arquivo de apresentação</t>
  </si>
  <si>
    <t>Front-end</t>
  </si>
  <si>
    <t>Desenvolvimento das telas</t>
  </si>
  <si>
    <t>Conexão com backend</t>
  </si>
  <si>
    <t>Back-end</t>
  </si>
  <si>
    <t>Desenvolvimento das rotas</t>
  </si>
  <si>
    <t>Conexão com banco de dados</t>
  </si>
  <si>
    <t>Banco de dados</t>
  </si>
  <si>
    <t>Construção do banco de dados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</si>
</sst>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9"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10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165" fontId="9" fillId="3" borderId="2" xfId="10" applyFill="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165" fontId="9" fillId="4" borderId="2" xfId="10" applyFill="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165" fontId="9" fillId="11" borderId="2" xfId="10" applyFill="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165" fontId="9" fillId="10" borderId="2" xfId="10" applyFill="1">
      <alignment horizontal="center" vertical="center"/>
    </xf>
    <xf numFmtId="165" fontId="9" fillId="0" borderId="2" xfId="10">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167" fontId="11" fillId="7" borderId="6" xfId="0" applyNumberFormat="1" applyFont="1" applyFill="1" applyBorder="1" applyAlignment="1">
      <alignment horizontal="center" vertical="center"/>
    </xf>
    <xf numFmtId="167" fontId="11" fillId="7" borderId="0" xfId="0" applyNumberFormat="1" applyFont="1" applyFill="1" applyAlignment="1">
      <alignment horizontal="center" vertical="center"/>
    </xf>
    <xf numFmtId="167" fontId="11" fillId="7" borderId="7" xfId="0" applyNumberFormat="1" applyFont="1" applyFill="1" applyBorder="1" applyAlignment="1">
      <alignment horizontal="center" vertical="center"/>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0" fontId="9" fillId="0" borderId="0" xfId="8">
      <alignment horizontal="right" indent="1"/>
    </xf>
    <xf numFmtId="0" fontId="9" fillId="0" borderId="7" xfId="8" applyBorder="1">
      <alignment horizontal="right" indent="1"/>
    </xf>
    <xf numFmtId="168" fontId="9" fillId="0" borderId="3" xfId="9">
      <alignment horizontal="center" vertical="center"/>
    </xf>
    <xf numFmtId="168" fontId="9" fillId="0" borderId="17" xfId="9" applyBorder="1">
      <alignment horizontal="center" vertical="center"/>
    </xf>
    <xf numFmtId="168" fontId="9" fillId="0" borderId="18" xfId="9" applyBorder="1">
      <alignment horizontal="center" vertical="center"/>
    </xf>
    <xf numFmtId="0" fontId="6" fillId="45" borderId="2" xfId="0" applyFont="1" applyFill="1" applyBorder="1" applyAlignment="1">
      <alignment horizontal="left" vertical="center" indent="1"/>
    </xf>
    <xf numFmtId="0" fontId="9" fillId="45" borderId="2" xfId="12" applyFill="1">
      <alignment horizontal="left" vertical="center" indent="2"/>
    </xf>
    <xf numFmtId="0" fontId="9" fillId="45" borderId="2" xfId="11" applyFill="1">
      <alignment horizontal="center" vertical="center"/>
    </xf>
    <xf numFmtId="9" fontId="5" fillId="45" borderId="2" xfId="2" applyFont="1" applyFill="1" applyBorder="1" applyAlignment="1">
      <alignment horizontal="center" vertical="center"/>
    </xf>
    <xf numFmtId="165" fontId="9" fillId="45" borderId="2" xfId="10" applyFill="1">
      <alignment horizontal="center" vertical="center"/>
    </xf>
    <xf numFmtId="165" fontId="9" fillId="9" borderId="2" xfId="10" applyFill="1">
      <alignment horizontal="center" vertical="center"/>
    </xf>
    <xf numFmtId="0" fontId="9" fillId="9" borderId="2" xfId="12" applyFill="1">
      <alignment horizontal="left" vertical="center" indent="2"/>
    </xf>
    <xf numFmtId="0" fontId="6" fillId="3" borderId="2" xfId="0" applyFont="1" applyFill="1" applyBorder="1" applyAlignment="1">
      <alignment horizontal="left" vertical="center" inden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8">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I40"/>
  <sheetViews>
    <sheetView showGridLines="0" showRuler="0" zoomScaleNormal="100" zoomScalePageLayoutView="70" workbookViewId="0">
      <pane ySplit="6" topLeftCell="A8" activePane="bottomLeft" state="frozen"/>
      <selection pane="bottomLeft" activeCell="I1" sqref="I1:I1048576"/>
    </sheetView>
  </sheetViews>
  <sheetFormatPr defaultRowHeight="30" customHeight="1" x14ac:dyDescent="0.3"/>
  <cols>
    <col min="1" max="1" width="2.6640625" style="45" customWidth="1"/>
    <col min="2" max="2" width="33.109375" bestFit="1" customWidth="1"/>
    <col min="3" max="3" width="30.6640625" customWidth="1"/>
    <col min="4" max="4" width="10.6640625" customWidth="1"/>
    <col min="5" max="5" width="10.44140625" style="5" customWidth="1"/>
    <col min="6" max="6" width="10.44140625" customWidth="1"/>
    <col min="7" max="7" width="2.6640625" customWidth="1"/>
    <col min="8" max="8" width="6" hidden="1" customWidth="1"/>
    <col min="9" max="113" width="2.5546875" customWidth="1"/>
  </cols>
  <sheetData>
    <row r="1" spans="1:113" ht="30" customHeight="1" x14ac:dyDescent="0.55000000000000004">
      <c r="A1" s="46" t="s">
        <v>0</v>
      </c>
      <c r="B1" s="49" t="s">
        <v>38</v>
      </c>
      <c r="C1" s="1"/>
      <c r="D1" s="2"/>
      <c r="E1" s="4"/>
      <c r="F1" s="34"/>
      <c r="H1" s="2"/>
      <c r="I1" s="67"/>
    </row>
    <row r="2" spans="1:113" ht="30" customHeight="1" x14ac:dyDescent="0.35">
      <c r="A2" s="45" t="s">
        <v>1</v>
      </c>
      <c r="B2" s="50" t="s">
        <v>40</v>
      </c>
      <c r="I2" s="68"/>
    </row>
    <row r="3" spans="1:113" ht="30" customHeight="1" x14ac:dyDescent="0.3">
      <c r="A3" s="45" t="s">
        <v>2</v>
      </c>
      <c r="B3" s="51" t="s">
        <v>39</v>
      </c>
      <c r="C3" s="91" t="s">
        <v>16</v>
      </c>
      <c r="D3" s="92"/>
      <c r="E3" s="93">
        <f ca="1">TODAY()</f>
        <v>46084</v>
      </c>
      <c r="F3" s="93"/>
    </row>
    <row r="4" spans="1:113" ht="30" customHeight="1" x14ac:dyDescent="0.3">
      <c r="A4" s="46" t="s">
        <v>3</v>
      </c>
      <c r="C4" s="91" t="s">
        <v>17</v>
      </c>
      <c r="D4" s="92"/>
      <c r="E4" s="7">
        <v>1</v>
      </c>
      <c r="I4" s="88">
        <f ca="1">I5</f>
        <v>46083</v>
      </c>
      <c r="J4" s="89"/>
      <c r="K4" s="89"/>
      <c r="L4" s="89"/>
      <c r="M4" s="89"/>
      <c r="N4" s="89"/>
      <c r="O4" s="90"/>
      <c r="P4" s="88">
        <f ca="1">P5</f>
        <v>46090</v>
      </c>
      <c r="Q4" s="89"/>
      <c r="R4" s="89"/>
      <c r="S4" s="89"/>
      <c r="T4" s="89"/>
      <c r="U4" s="89"/>
      <c r="V4" s="90"/>
      <c r="W4" s="88">
        <f ca="1">W5</f>
        <v>46097</v>
      </c>
      <c r="X4" s="89"/>
      <c r="Y4" s="89"/>
      <c r="Z4" s="89"/>
      <c r="AA4" s="89"/>
      <c r="AB4" s="89"/>
      <c r="AC4" s="90"/>
      <c r="AD4" s="88">
        <f ca="1">AD5</f>
        <v>46104</v>
      </c>
      <c r="AE4" s="89"/>
      <c r="AF4" s="89"/>
      <c r="AG4" s="89"/>
      <c r="AH4" s="89"/>
      <c r="AI4" s="89"/>
      <c r="AJ4" s="90"/>
      <c r="AK4" s="88">
        <f ca="1">AK5</f>
        <v>46111</v>
      </c>
      <c r="AL4" s="89"/>
      <c r="AM4" s="89"/>
      <c r="AN4" s="89"/>
      <c r="AO4" s="89"/>
      <c r="AP4" s="89"/>
      <c r="AQ4" s="90"/>
      <c r="AR4" s="88">
        <f ca="1">AR5</f>
        <v>46118</v>
      </c>
      <c r="AS4" s="89"/>
      <c r="AT4" s="89"/>
      <c r="AU4" s="89"/>
      <c r="AV4" s="89"/>
      <c r="AW4" s="89"/>
      <c r="AX4" s="90"/>
      <c r="AY4" s="88">
        <f ca="1">AY5</f>
        <v>46125</v>
      </c>
      <c r="AZ4" s="89"/>
      <c r="BA4" s="89"/>
      <c r="BB4" s="89"/>
      <c r="BC4" s="89"/>
      <c r="BD4" s="89"/>
      <c r="BE4" s="90"/>
      <c r="BF4" s="88">
        <f ca="1">BF5</f>
        <v>46132</v>
      </c>
      <c r="BG4" s="89"/>
      <c r="BH4" s="89"/>
      <c r="BI4" s="89"/>
      <c r="BJ4" s="89"/>
      <c r="BK4" s="89"/>
      <c r="BL4" s="90"/>
      <c r="BM4" s="88">
        <f ca="1">BM5</f>
        <v>46139</v>
      </c>
      <c r="BN4" s="89"/>
      <c r="BO4" s="89"/>
      <c r="BP4" s="89"/>
      <c r="BQ4" s="89"/>
      <c r="BR4" s="89"/>
      <c r="BS4" s="90"/>
      <c r="BT4" s="88">
        <f ca="1">BT5</f>
        <v>46146</v>
      </c>
      <c r="BU4" s="89"/>
      <c r="BV4" s="89"/>
      <c r="BW4" s="89"/>
      <c r="BX4" s="89"/>
      <c r="BY4" s="89"/>
      <c r="BZ4" s="90"/>
      <c r="CA4" s="88">
        <f ca="1">CA5</f>
        <v>46153</v>
      </c>
      <c r="CB4" s="89"/>
      <c r="CC4" s="89"/>
      <c r="CD4" s="89"/>
      <c r="CE4" s="89"/>
      <c r="CF4" s="89"/>
      <c r="CG4" s="90"/>
      <c r="CH4" s="88">
        <f ca="1">CH5</f>
        <v>46160</v>
      </c>
      <c r="CI4" s="89"/>
      <c r="CJ4" s="89"/>
      <c r="CK4" s="89"/>
      <c r="CL4" s="89"/>
      <c r="CM4" s="89"/>
      <c r="CN4" s="90"/>
      <c r="CO4" s="88">
        <f ca="1">CO5</f>
        <v>46167</v>
      </c>
      <c r="CP4" s="89"/>
      <c r="CQ4" s="89"/>
      <c r="CR4" s="89"/>
      <c r="CS4" s="89"/>
      <c r="CT4" s="89"/>
      <c r="CU4" s="90"/>
      <c r="CV4" s="88">
        <f ca="1">CV5</f>
        <v>46174</v>
      </c>
      <c r="CW4" s="89"/>
      <c r="CX4" s="89"/>
      <c r="CY4" s="89"/>
      <c r="CZ4" s="89"/>
      <c r="DA4" s="89"/>
      <c r="DB4" s="90"/>
      <c r="DC4" s="88">
        <f ca="1">DC5</f>
        <v>46181</v>
      </c>
      <c r="DD4" s="89"/>
      <c r="DE4" s="89"/>
      <c r="DF4" s="89"/>
      <c r="DG4" s="89"/>
      <c r="DH4" s="89"/>
      <c r="DI4" s="90"/>
    </row>
    <row r="5" spans="1:113" ht="15" customHeight="1" x14ac:dyDescent="0.3">
      <c r="A5" s="46" t="s">
        <v>4</v>
      </c>
      <c r="B5" s="66"/>
      <c r="C5" s="66"/>
      <c r="D5" s="66"/>
      <c r="E5" s="66"/>
      <c r="F5" s="66"/>
      <c r="G5" s="66"/>
      <c r="I5" s="85">
        <f ca="1">Início_do_projeto-WEEKDAY(Início_do_projeto,1)+2+7*(Semana_de_exibição-1)</f>
        <v>46083</v>
      </c>
      <c r="J5" s="86">
        <f ca="1">I5+1</f>
        <v>46084</v>
      </c>
      <c r="K5" s="86">
        <f t="shared" ref="K5:AX5" ca="1" si="0">J5+1</f>
        <v>46085</v>
      </c>
      <c r="L5" s="86">
        <f t="shared" ca="1" si="0"/>
        <v>46086</v>
      </c>
      <c r="M5" s="86">
        <f t="shared" ca="1" si="0"/>
        <v>46087</v>
      </c>
      <c r="N5" s="86">
        <f t="shared" ca="1" si="0"/>
        <v>46088</v>
      </c>
      <c r="O5" s="87">
        <f t="shared" ca="1" si="0"/>
        <v>46089</v>
      </c>
      <c r="P5" s="85">
        <f ca="1">O5+1</f>
        <v>46090</v>
      </c>
      <c r="Q5" s="86">
        <f ca="1">P5+1</f>
        <v>46091</v>
      </c>
      <c r="R5" s="86">
        <f t="shared" ca="1" si="0"/>
        <v>46092</v>
      </c>
      <c r="S5" s="86">
        <f t="shared" ca="1" si="0"/>
        <v>46093</v>
      </c>
      <c r="T5" s="86">
        <f t="shared" ca="1" si="0"/>
        <v>46094</v>
      </c>
      <c r="U5" s="86">
        <f t="shared" ca="1" si="0"/>
        <v>46095</v>
      </c>
      <c r="V5" s="87">
        <f t="shared" ca="1" si="0"/>
        <v>46096</v>
      </c>
      <c r="W5" s="85">
        <f ca="1">V5+1</f>
        <v>46097</v>
      </c>
      <c r="X5" s="86">
        <f ca="1">W5+1</f>
        <v>46098</v>
      </c>
      <c r="Y5" s="86">
        <f t="shared" ca="1" si="0"/>
        <v>46099</v>
      </c>
      <c r="Z5" s="86">
        <f t="shared" ca="1" si="0"/>
        <v>46100</v>
      </c>
      <c r="AA5" s="86">
        <f t="shared" ca="1" si="0"/>
        <v>46101</v>
      </c>
      <c r="AB5" s="86">
        <f t="shared" ca="1" si="0"/>
        <v>46102</v>
      </c>
      <c r="AC5" s="87">
        <f t="shared" ca="1" si="0"/>
        <v>46103</v>
      </c>
      <c r="AD5" s="85">
        <f ca="1">AC5+1</f>
        <v>46104</v>
      </c>
      <c r="AE5" s="86">
        <f ca="1">AD5+1</f>
        <v>46105</v>
      </c>
      <c r="AF5" s="86">
        <f t="shared" ca="1" si="0"/>
        <v>46106</v>
      </c>
      <c r="AG5" s="86">
        <f t="shared" ca="1" si="0"/>
        <v>46107</v>
      </c>
      <c r="AH5" s="86">
        <f t="shared" ca="1" si="0"/>
        <v>46108</v>
      </c>
      <c r="AI5" s="86">
        <f t="shared" ca="1" si="0"/>
        <v>46109</v>
      </c>
      <c r="AJ5" s="87">
        <f t="shared" ca="1" si="0"/>
        <v>46110</v>
      </c>
      <c r="AK5" s="85">
        <f ca="1">AJ5+1</f>
        <v>46111</v>
      </c>
      <c r="AL5" s="86">
        <f ca="1">AK5+1</f>
        <v>46112</v>
      </c>
      <c r="AM5" s="86">
        <f t="shared" ca="1" si="0"/>
        <v>46113</v>
      </c>
      <c r="AN5" s="86">
        <f t="shared" ca="1" si="0"/>
        <v>46114</v>
      </c>
      <c r="AO5" s="86">
        <f t="shared" ca="1" si="0"/>
        <v>46115</v>
      </c>
      <c r="AP5" s="86">
        <f t="shared" ca="1" si="0"/>
        <v>46116</v>
      </c>
      <c r="AQ5" s="87">
        <f t="shared" ca="1" si="0"/>
        <v>46117</v>
      </c>
      <c r="AR5" s="85">
        <f ca="1">AQ5+1</f>
        <v>46118</v>
      </c>
      <c r="AS5" s="86">
        <f ca="1">AR5+1</f>
        <v>46119</v>
      </c>
      <c r="AT5" s="86">
        <f t="shared" ca="1" si="0"/>
        <v>46120</v>
      </c>
      <c r="AU5" s="86">
        <f t="shared" ca="1" si="0"/>
        <v>46121</v>
      </c>
      <c r="AV5" s="86">
        <f t="shared" ca="1" si="0"/>
        <v>46122</v>
      </c>
      <c r="AW5" s="86">
        <f t="shared" ca="1" si="0"/>
        <v>46123</v>
      </c>
      <c r="AX5" s="87">
        <f t="shared" ca="1" si="0"/>
        <v>46124</v>
      </c>
      <c r="AY5" s="85">
        <f ca="1">AX5+1</f>
        <v>46125</v>
      </c>
      <c r="AZ5" s="86">
        <f ca="1">AY5+1</f>
        <v>46126</v>
      </c>
      <c r="BA5" s="86">
        <f t="shared" ref="BA5:BE5" ca="1" si="1">AZ5+1</f>
        <v>46127</v>
      </c>
      <c r="BB5" s="86">
        <f t="shared" ca="1" si="1"/>
        <v>46128</v>
      </c>
      <c r="BC5" s="86">
        <f t="shared" ca="1" si="1"/>
        <v>46129</v>
      </c>
      <c r="BD5" s="86">
        <f t="shared" ca="1" si="1"/>
        <v>46130</v>
      </c>
      <c r="BE5" s="87">
        <f t="shared" ca="1" si="1"/>
        <v>46131</v>
      </c>
      <c r="BF5" s="85">
        <f ca="1">BE5+1</f>
        <v>46132</v>
      </c>
      <c r="BG5" s="86">
        <f ca="1">BF5+1</f>
        <v>46133</v>
      </c>
      <c r="BH5" s="86">
        <f t="shared" ref="BH5:BL5" ca="1" si="2">BG5+1</f>
        <v>46134</v>
      </c>
      <c r="BI5" s="86">
        <f t="shared" ca="1" si="2"/>
        <v>46135</v>
      </c>
      <c r="BJ5" s="86">
        <f t="shared" ca="1" si="2"/>
        <v>46136</v>
      </c>
      <c r="BK5" s="86">
        <f t="shared" ca="1" si="2"/>
        <v>46137</v>
      </c>
      <c r="BL5" s="87">
        <f t="shared" ca="1" si="2"/>
        <v>46138</v>
      </c>
      <c r="BM5" s="85">
        <f ca="1">BL5+1</f>
        <v>46139</v>
      </c>
      <c r="BN5" s="86">
        <f ca="1">BM5+1</f>
        <v>46140</v>
      </c>
      <c r="BO5" s="86">
        <f t="shared" ref="BO5" ca="1" si="3">BN5+1</f>
        <v>46141</v>
      </c>
      <c r="BP5" s="86">
        <f t="shared" ref="BP5" ca="1" si="4">BO5+1</f>
        <v>46142</v>
      </c>
      <c r="BQ5" s="86">
        <f t="shared" ref="BQ5" ca="1" si="5">BP5+1</f>
        <v>46143</v>
      </c>
      <c r="BR5" s="86">
        <f t="shared" ref="BR5" ca="1" si="6">BQ5+1</f>
        <v>46144</v>
      </c>
      <c r="BS5" s="87">
        <f t="shared" ref="BS5" ca="1" si="7">BR5+1</f>
        <v>46145</v>
      </c>
      <c r="BT5" s="85">
        <f ca="1">BS5+1</f>
        <v>46146</v>
      </c>
      <c r="BU5" s="86">
        <f ca="1">BT5+1</f>
        <v>46147</v>
      </c>
      <c r="BV5" s="86">
        <f t="shared" ref="BV5" ca="1" si="8">BU5+1</f>
        <v>46148</v>
      </c>
      <c r="BW5" s="86">
        <f t="shared" ref="BW5" ca="1" si="9">BV5+1</f>
        <v>46149</v>
      </c>
      <c r="BX5" s="86">
        <f t="shared" ref="BX5" ca="1" si="10">BW5+1</f>
        <v>46150</v>
      </c>
      <c r="BY5" s="86">
        <f t="shared" ref="BY5" ca="1" si="11">BX5+1</f>
        <v>46151</v>
      </c>
      <c r="BZ5" s="87">
        <f t="shared" ref="BZ5" ca="1" si="12">BY5+1</f>
        <v>46152</v>
      </c>
      <c r="CA5" s="85">
        <f ca="1">BZ5+1</f>
        <v>46153</v>
      </c>
      <c r="CB5" s="86">
        <f ca="1">CA5+1</f>
        <v>46154</v>
      </c>
      <c r="CC5" s="86">
        <f t="shared" ref="CC5" ca="1" si="13">CB5+1</f>
        <v>46155</v>
      </c>
      <c r="CD5" s="86">
        <f t="shared" ref="CD5" ca="1" si="14">CC5+1</f>
        <v>46156</v>
      </c>
      <c r="CE5" s="86">
        <f t="shared" ref="CE5" ca="1" si="15">CD5+1</f>
        <v>46157</v>
      </c>
      <c r="CF5" s="86">
        <f t="shared" ref="CF5" ca="1" si="16">CE5+1</f>
        <v>46158</v>
      </c>
      <c r="CG5" s="87">
        <f t="shared" ref="CG5" ca="1" si="17">CF5+1</f>
        <v>46159</v>
      </c>
      <c r="CH5" s="85">
        <f ca="1">CG5+1</f>
        <v>46160</v>
      </c>
      <c r="CI5" s="86">
        <f ca="1">CH5+1</f>
        <v>46161</v>
      </c>
      <c r="CJ5" s="86">
        <f t="shared" ref="CJ5" ca="1" si="18">CI5+1</f>
        <v>46162</v>
      </c>
      <c r="CK5" s="86">
        <f t="shared" ref="CK5" ca="1" si="19">CJ5+1</f>
        <v>46163</v>
      </c>
      <c r="CL5" s="86">
        <f t="shared" ref="CL5" ca="1" si="20">CK5+1</f>
        <v>46164</v>
      </c>
      <c r="CM5" s="86">
        <f t="shared" ref="CM5" ca="1" si="21">CL5+1</f>
        <v>46165</v>
      </c>
      <c r="CN5" s="87">
        <f t="shared" ref="CN5" ca="1" si="22">CM5+1</f>
        <v>46166</v>
      </c>
      <c r="CO5" s="85">
        <f ca="1">CN5+1</f>
        <v>46167</v>
      </c>
      <c r="CP5" s="86">
        <f ca="1">CO5+1</f>
        <v>46168</v>
      </c>
      <c r="CQ5" s="86">
        <f t="shared" ref="CQ5" ca="1" si="23">CP5+1</f>
        <v>46169</v>
      </c>
      <c r="CR5" s="86">
        <f t="shared" ref="CR5" ca="1" si="24">CQ5+1</f>
        <v>46170</v>
      </c>
      <c r="CS5" s="86">
        <f t="shared" ref="CS5" ca="1" si="25">CR5+1</f>
        <v>46171</v>
      </c>
      <c r="CT5" s="86">
        <f t="shared" ref="CT5" ca="1" si="26">CS5+1</f>
        <v>46172</v>
      </c>
      <c r="CU5" s="87">
        <f t="shared" ref="CU5" ca="1" si="27">CT5+1</f>
        <v>46173</v>
      </c>
      <c r="CV5" s="85">
        <f ca="1">CU5+1</f>
        <v>46174</v>
      </c>
      <c r="CW5" s="86">
        <f ca="1">CV5+1</f>
        <v>46175</v>
      </c>
      <c r="CX5" s="86">
        <f t="shared" ref="CX5" ca="1" si="28">CW5+1</f>
        <v>46176</v>
      </c>
      <c r="CY5" s="86">
        <f t="shared" ref="CY5" ca="1" si="29">CX5+1</f>
        <v>46177</v>
      </c>
      <c r="CZ5" s="86">
        <f t="shared" ref="CZ5" ca="1" si="30">CY5+1</f>
        <v>46178</v>
      </c>
      <c r="DA5" s="86">
        <f t="shared" ref="DA5" ca="1" si="31">CZ5+1</f>
        <v>46179</v>
      </c>
      <c r="DB5" s="87">
        <f t="shared" ref="DB5" ca="1" si="32">DA5+1</f>
        <v>46180</v>
      </c>
      <c r="DC5" s="85">
        <f ca="1">DB5+1</f>
        <v>46181</v>
      </c>
      <c r="DD5" s="86">
        <f ca="1">DC5+1</f>
        <v>46182</v>
      </c>
      <c r="DE5" s="86">
        <f t="shared" ref="DE5" ca="1" si="33">DD5+1</f>
        <v>46183</v>
      </c>
      <c r="DF5" s="86">
        <f t="shared" ref="DF5" ca="1" si="34">DE5+1</f>
        <v>46184</v>
      </c>
      <c r="DG5" s="86">
        <f t="shared" ref="DG5" ca="1" si="35">DF5+1</f>
        <v>46185</v>
      </c>
      <c r="DH5" s="86">
        <f t="shared" ref="DH5" ca="1" si="36">DG5+1</f>
        <v>46186</v>
      </c>
      <c r="DI5" s="87">
        <f t="shared" ref="DI5" ca="1" si="37">DH5+1</f>
        <v>46187</v>
      </c>
    </row>
    <row r="6" spans="1:113" ht="30" customHeight="1" thickBot="1" x14ac:dyDescent="0.35">
      <c r="A6" s="46" t="s">
        <v>5</v>
      </c>
      <c r="B6" s="8" t="s">
        <v>14</v>
      </c>
      <c r="C6" s="9" t="s">
        <v>18</v>
      </c>
      <c r="D6" s="9" t="s">
        <v>19</v>
      </c>
      <c r="E6" s="9" t="s">
        <v>20</v>
      </c>
      <c r="F6" s="9" t="s">
        <v>21</v>
      </c>
      <c r="G6" s="9"/>
      <c r="H6" s="9" t="s">
        <v>22</v>
      </c>
      <c r="I6" s="10" t="str">
        <f t="shared" ref="I6" ca="1" si="38">LEFT(TEXT(I5,"ddd"),1)</f>
        <v>s</v>
      </c>
      <c r="J6" s="10" t="str">
        <f t="shared" ref="J6:AR6" ca="1" si="39">LEFT(TEXT(J5,"ddd"),1)</f>
        <v>t</v>
      </c>
      <c r="K6" s="10" t="str">
        <f t="shared" ca="1" si="39"/>
        <v>q</v>
      </c>
      <c r="L6" s="10" t="str">
        <f t="shared" ca="1" si="39"/>
        <v>q</v>
      </c>
      <c r="M6" s="10" t="str">
        <f t="shared" ca="1" si="39"/>
        <v>s</v>
      </c>
      <c r="N6" s="10" t="str">
        <f t="shared" ca="1" si="39"/>
        <v>s</v>
      </c>
      <c r="O6" s="10" t="str">
        <f t="shared" ca="1" si="39"/>
        <v>d</v>
      </c>
      <c r="P6" s="10" t="str">
        <f t="shared" ca="1" si="39"/>
        <v>s</v>
      </c>
      <c r="Q6" s="10" t="str">
        <f t="shared" ca="1" si="39"/>
        <v>t</v>
      </c>
      <c r="R6" s="10" t="str">
        <f t="shared" ca="1" si="39"/>
        <v>q</v>
      </c>
      <c r="S6" s="10" t="str">
        <f t="shared" ca="1" si="39"/>
        <v>q</v>
      </c>
      <c r="T6" s="10" t="str">
        <f t="shared" ca="1" si="39"/>
        <v>s</v>
      </c>
      <c r="U6" s="10" t="str">
        <f t="shared" ca="1" si="39"/>
        <v>s</v>
      </c>
      <c r="V6" s="10" t="str">
        <f t="shared" ca="1" si="39"/>
        <v>d</v>
      </c>
      <c r="W6" s="10" t="str">
        <f t="shared" ca="1" si="39"/>
        <v>s</v>
      </c>
      <c r="X6" s="10" t="str">
        <f t="shared" ca="1" si="39"/>
        <v>t</v>
      </c>
      <c r="Y6" s="10" t="str">
        <f t="shared" ca="1" si="39"/>
        <v>q</v>
      </c>
      <c r="Z6" s="10" t="str">
        <f t="shared" ca="1" si="39"/>
        <v>q</v>
      </c>
      <c r="AA6" s="10" t="str">
        <f t="shared" ca="1" si="39"/>
        <v>s</v>
      </c>
      <c r="AB6" s="10" t="str">
        <f t="shared" ca="1" si="39"/>
        <v>s</v>
      </c>
      <c r="AC6" s="10" t="str">
        <f t="shared" ca="1" si="39"/>
        <v>d</v>
      </c>
      <c r="AD6" s="10" t="str">
        <f t="shared" ca="1" si="39"/>
        <v>s</v>
      </c>
      <c r="AE6" s="10" t="str">
        <f t="shared" ca="1" si="39"/>
        <v>t</v>
      </c>
      <c r="AF6" s="10" t="str">
        <f t="shared" ca="1" si="39"/>
        <v>q</v>
      </c>
      <c r="AG6" s="10" t="str">
        <f t="shared" ca="1" si="39"/>
        <v>q</v>
      </c>
      <c r="AH6" s="10" t="str">
        <f t="shared" ca="1" si="39"/>
        <v>s</v>
      </c>
      <c r="AI6" s="10" t="str">
        <f t="shared" ca="1" si="39"/>
        <v>s</v>
      </c>
      <c r="AJ6" s="10" t="str">
        <f t="shared" ca="1" si="39"/>
        <v>d</v>
      </c>
      <c r="AK6" s="10" t="str">
        <f t="shared" ca="1" si="39"/>
        <v>s</v>
      </c>
      <c r="AL6" s="10" t="str">
        <f t="shared" ca="1" si="39"/>
        <v>t</v>
      </c>
      <c r="AM6" s="10" t="str">
        <f t="shared" ca="1" si="39"/>
        <v>q</v>
      </c>
      <c r="AN6" s="10" t="str">
        <f t="shared" ca="1" si="39"/>
        <v>q</v>
      </c>
      <c r="AO6" s="10" t="str">
        <f t="shared" ca="1" si="39"/>
        <v>s</v>
      </c>
      <c r="AP6" s="10" t="str">
        <f t="shared" ca="1" si="39"/>
        <v>s</v>
      </c>
      <c r="AQ6" s="10" t="str">
        <f t="shared" ca="1" si="39"/>
        <v>d</v>
      </c>
      <c r="AR6" s="10" t="str">
        <f t="shared" ca="1" si="39"/>
        <v>s</v>
      </c>
      <c r="AS6" s="10" t="str">
        <f t="shared" ref="AS6:BL6" ca="1" si="40">LEFT(TEXT(AS5,"ddd"),1)</f>
        <v>t</v>
      </c>
      <c r="AT6" s="10" t="str">
        <f t="shared" ca="1" si="40"/>
        <v>q</v>
      </c>
      <c r="AU6" s="10" t="str">
        <f t="shared" ca="1" si="40"/>
        <v>q</v>
      </c>
      <c r="AV6" s="10" t="str">
        <f t="shared" ca="1" si="40"/>
        <v>s</v>
      </c>
      <c r="AW6" s="10" t="str">
        <f t="shared" ca="1" si="40"/>
        <v>s</v>
      </c>
      <c r="AX6" s="10" t="str">
        <f t="shared" ca="1" si="40"/>
        <v>d</v>
      </c>
      <c r="AY6" s="10" t="str">
        <f t="shared" ca="1" si="40"/>
        <v>s</v>
      </c>
      <c r="AZ6" s="10" t="str">
        <f t="shared" ca="1" si="40"/>
        <v>t</v>
      </c>
      <c r="BA6" s="10" t="str">
        <f t="shared" ca="1" si="40"/>
        <v>q</v>
      </c>
      <c r="BB6" s="10" t="str">
        <f t="shared" ca="1" si="40"/>
        <v>q</v>
      </c>
      <c r="BC6" s="10" t="str">
        <f t="shared" ca="1" si="40"/>
        <v>s</v>
      </c>
      <c r="BD6" s="10" t="str">
        <f t="shared" ca="1" si="40"/>
        <v>s</v>
      </c>
      <c r="BE6" s="10" t="str">
        <f t="shared" ca="1" si="40"/>
        <v>d</v>
      </c>
      <c r="BF6" s="10" t="str">
        <f t="shared" ca="1" si="40"/>
        <v>s</v>
      </c>
      <c r="BG6" s="10" t="str">
        <f t="shared" ca="1" si="40"/>
        <v>t</v>
      </c>
      <c r="BH6" s="10" t="str">
        <f t="shared" ca="1" si="40"/>
        <v>q</v>
      </c>
      <c r="BI6" s="10" t="str">
        <f t="shared" ca="1" si="40"/>
        <v>q</v>
      </c>
      <c r="BJ6" s="10" t="str">
        <f t="shared" ca="1" si="40"/>
        <v>s</v>
      </c>
      <c r="BK6" s="10" t="str">
        <f t="shared" ca="1" si="40"/>
        <v>s</v>
      </c>
      <c r="BL6" s="10" t="str">
        <f t="shared" ca="1" si="40"/>
        <v>d</v>
      </c>
      <c r="BM6" s="10" t="str">
        <f t="shared" ref="BM6:DI6" ca="1" si="41">LEFT(TEXT(BM5,"ddd"),1)</f>
        <v>s</v>
      </c>
      <c r="BN6" s="10" t="str">
        <f t="shared" ca="1" si="41"/>
        <v>t</v>
      </c>
      <c r="BO6" s="10" t="str">
        <f t="shared" ca="1" si="41"/>
        <v>q</v>
      </c>
      <c r="BP6" s="10" t="str">
        <f t="shared" ca="1" si="41"/>
        <v>q</v>
      </c>
      <c r="BQ6" s="10" t="str">
        <f t="shared" ca="1" si="41"/>
        <v>s</v>
      </c>
      <c r="BR6" s="10" t="str">
        <f t="shared" ca="1" si="41"/>
        <v>s</v>
      </c>
      <c r="BS6" s="10" t="str">
        <f t="shared" ca="1" si="41"/>
        <v>d</v>
      </c>
      <c r="BT6" s="10" t="str">
        <f t="shared" ca="1" si="41"/>
        <v>s</v>
      </c>
      <c r="BU6" s="10" t="str">
        <f t="shared" ca="1" si="41"/>
        <v>t</v>
      </c>
      <c r="BV6" s="10" t="str">
        <f t="shared" ca="1" si="41"/>
        <v>q</v>
      </c>
      <c r="BW6" s="10" t="str">
        <f t="shared" ca="1" si="41"/>
        <v>q</v>
      </c>
      <c r="BX6" s="10" t="str">
        <f t="shared" ca="1" si="41"/>
        <v>s</v>
      </c>
      <c r="BY6" s="10" t="str">
        <f t="shared" ca="1" si="41"/>
        <v>s</v>
      </c>
      <c r="BZ6" s="10" t="str">
        <f t="shared" ca="1" si="41"/>
        <v>d</v>
      </c>
      <c r="CA6" s="10" t="str">
        <f t="shared" ca="1" si="41"/>
        <v>s</v>
      </c>
      <c r="CB6" s="10" t="str">
        <f t="shared" ca="1" si="41"/>
        <v>t</v>
      </c>
      <c r="CC6" s="10" t="str">
        <f t="shared" ca="1" si="41"/>
        <v>q</v>
      </c>
      <c r="CD6" s="10" t="str">
        <f t="shared" ca="1" si="41"/>
        <v>q</v>
      </c>
      <c r="CE6" s="10" t="str">
        <f t="shared" ca="1" si="41"/>
        <v>s</v>
      </c>
      <c r="CF6" s="10" t="str">
        <f t="shared" ca="1" si="41"/>
        <v>s</v>
      </c>
      <c r="CG6" s="10" t="str">
        <f t="shared" ca="1" si="41"/>
        <v>d</v>
      </c>
      <c r="CH6" s="10" t="str">
        <f t="shared" ca="1" si="41"/>
        <v>s</v>
      </c>
      <c r="CI6" s="10" t="str">
        <f t="shared" ca="1" si="41"/>
        <v>t</v>
      </c>
      <c r="CJ6" s="10" t="str">
        <f t="shared" ca="1" si="41"/>
        <v>q</v>
      </c>
      <c r="CK6" s="10" t="str">
        <f t="shared" ca="1" si="41"/>
        <v>q</v>
      </c>
      <c r="CL6" s="10" t="str">
        <f t="shared" ca="1" si="41"/>
        <v>s</v>
      </c>
      <c r="CM6" s="10" t="str">
        <f t="shared" ca="1" si="41"/>
        <v>s</v>
      </c>
      <c r="CN6" s="10" t="str">
        <f t="shared" ca="1" si="41"/>
        <v>d</v>
      </c>
      <c r="CO6" s="10" t="str">
        <f t="shared" ca="1" si="41"/>
        <v>s</v>
      </c>
      <c r="CP6" s="10" t="str">
        <f t="shared" ca="1" si="41"/>
        <v>t</v>
      </c>
      <c r="CQ6" s="10" t="str">
        <f t="shared" ca="1" si="41"/>
        <v>q</v>
      </c>
      <c r="CR6" s="10" t="str">
        <f t="shared" ca="1" si="41"/>
        <v>q</v>
      </c>
      <c r="CS6" s="10" t="str">
        <f t="shared" ca="1" si="41"/>
        <v>s</v>
      </c>
      <c r="CT6" s="10" t="str">
        <f t="shared" ca="1" si="41"/>
        <v>s</v>
      </c>
      <c r="CU6" s="10" t="str">
        <f t="shared" ca="1" si="41"/>
        <v>d</v>
      </c>
      <c r="CV6" s="10" t="str">
        <f t="shared" ca="1" si="41"/>
        <v>s</v>
      </c>
      <c r="CW6" s="10" t="str">
        <f t="shared" ca="1" si="41"/>
        <v>t</v>
      </c>
      <c r="CX6" s="10" t="str">
        <f t="shared" ca="1" si="41"/>
        <v>q</v>
      </c>
      <c r="CY6" s="10" t="str">
        <f t="shared" ca="1" si="41"/>
        <v>q</v>
      </c>
      <c r="CZ6" s="10" t="str">
        <f t="shared" ca="1" si="41"/>
        <v>s</v>
      </c>
      <c r="DA6" s="10" t="str">
        <f t="shared" ca="1" si="41"/>
        <v>s</v>
      </c>
      <c r="DB6" s="10" t="str">
        <f t="shared" ca="1" si="41"/>
        <v>d</v>
      </c>
      <c r="DC6" s="10" t="str">
        <f t="shared" ca="1" si="41"/>
        <v>s</v>
      </c>
      <c r="DD6" s="10" t="str">
        <f t="shared" ca="1" si="41"/>
        <v>t</v>
      </c>
      <c r="DE6" s="10" t="str">
        <f t="shared" ca="1" si="41"/>
        <v>q</v>
      </c>
      <c r="DF6" s="10" t="str">
        <f t="shared" ca="1" si="41"/>
        <v>q</v>
      </c>
      <c r="DG6" s="10" t="str">
        <f t="shared" ca="1" si="41"/>
        <v>s</v>
      </c>
      <c r="DH6" s="10" t="str">
        <f t="shared" ca="1" si="41"/>
        <v>s</v>
      </c>
      <c r="DI6" s="10" t="str">
        <f t="shared" ca="1" si="41"/>
        <v>d</v>
      </c>
    </row>
    <row r="7" spans="1:113" ht="30" hidden="1" customHeight="1" thickBot="1" x14ac:dyDescent="0.35">
      <c r="A7" s="45" t="s">
        <v>6</v>
      </c>
      <c r="C7" s="4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row>
    <row r="8" spans="1:113" s="3" customFormat="1" ht="30" customHeight="1" thickBot="1" x14ac:dyDescent="0.35">
      <c r="A8" s="46" t="s">
        <v>7</v>
      </c>
      <c r="B8" s="15" t="s">
        <v>41</v>
      </c>
      <c r="C8" s="52"/>
      <c r="D8" s="16"/>
      <c r="E8" s="70"/>
      <c r="F8" s="71"/>
      <c r="G8" s="14"/>
      <c r="H8" s="14" t="str">
        <f t="shared" ref="H8:H37" si="42">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row>
    <row r="9" spans="1:113" s="3" customFormat="1" ht="30" customHeight="1" thickBot="1" x14ac:dyDescent="0.35">
      <c r="A9" s="46" t="s">
        <v>8</v>
      </c>
      <c r="B9" s="61" t="s">
        <v>41</v>
      </c>
      <c r="C9" s="53" t="s">
        <v>42</v>
      </c>
      <c r="D9" s="17">
        <v>0</v>
      </c>
      <c r="E9" s="72">
        <f ca="1">Início_do_projeto</f>
        <v>46084</v>
      </c>
      <c r="F9" s="72">
        <v>46082</v>
      </c>
      <c r="G9" s="14"/>
      <c r="H9" s="14">
        <f t="shared" ca="1" si="42"/>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row>
    <row r="10" spans="1:113" s="3" customFormat="1" ht="30" customHeight="1" thickBot="1" x14ac:dyDescent="0.35">
      <c r="A10" s="46" t="s">
        <v>9</v>
      </c>
      <c r="B10" s="61" t="s">
        <v>43</v>
      </c>
      <c r="C10" s="53" t="s">
        <v>44</v>
      </c>
      <c r="D10" s="17">
        <v>1</v>
      </c>
      <c r="E10" s="72">
        <v>46081</v>
      </c>
      <c r="F10" s="72">
        <v>46081</v>
      </c>
      <c r="G10" s="14"/>
      <c r="H10" s="14">
        <f t="shared" si="42"/>
        <v>1</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row>
    <row r="11" spans="1:113" s="3" customFormat="1" ht="30" customHeight="1" thickBot="1" x14ac:dyDescent="0.35">
      <c r="A11" s="45"/>
      <c r="B11" s="61" t="s">
        <v>45</v>
      </c>
      <c r="C11" s="53" t="s">
        <v>46</v>
      </c>
      <c r="D11" s="17">
        <v>0</v>
      </c>
      <c r="E11" s="72">
        <f>F10</f>
        <v>46081</v>
      </c>
      <c r="F11" s="72">
        <v>46082</v>
      </c>
      <c r="G11" s="14"/>
      <c r="H11" s="14">
        <f t="shared" si="42"/>
        <v>2</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row>
    <row r="12" spans="1:113" s="3" customFormat="1" ht="30" customHeight="1" thickBot="1" x14ac:dyDescent="0.35">
      <c r="A12" s="45"/>
      <c r="B12" s="61" t="s">
        <v>47</v>
      </c>
      <c r="C12" s="53" t="s">
        <v>42</v>
      </c>
      <c r="D12" s="17">
        <v>0.25</v>
      </c>
      <c r="E12" s="72">
        <v>46081</v>
      </c>
      <c r="F12" s="72">
        <v>46082</v>
      </c>
      <c r="G12" s="14"/>
      <c r="H12" s="14">
        <f t="shared" si="42"/>
        <v>2</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row>
    <row r="13" spans="1:113" s="3" customFormat="1" ht="30" customHeight="1" thickBot="1" x14ac:dyDescent="0.35">
      <c r="A13" s="45"/>
      <c r="B13" s="61" t="s">
        <v>48</v>
      </c>
      <c r="C13" s="53" t="s">
        <v>42</v>
      </c>
      <c r="D13" s="17">
        <v>0</v>
      </c>
      <c r="E13" s="72">
        <v>46081</v>
      </c>
      <c r="F13" s="72">
        <v>46082</v>
      </c>
      <c r="G13" s="14"/>
      <c r="H13" s="14">
        <f t="shared" si="42"/>
        <v>2</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row>
    <row r="14" spans="1:113" s="3" customFormat="1" ht="30" customHeight="1" thickBot="1" x14ac:dyDescent="0.35">
      <c r="A14" s="45"/>
      <c r="B14" s="61" t="s">
        <v>49</v>
      </c>
      <c r="C14" s="53" t="s">
        <v>46</v>
      </c>
      <c r="D14" s="17">
        <v>0</v>
      </c>
      <c r="E14" s="72">
        <v>46081</v>
      </c>
      <c r="F14" s="72">
        <v>46082</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row>
    <row r="15" spans="1:113" s="3" customFormat="1" ht="30" customHeight="1" thickBot="1" x14ac:dyDescent="0.35">
      <c r="A15" s="45"/>
      <c r="B15" s="61" t="s">
        <v>50</v>
      </c>
      <c r="C15" s="53" t="s">
        <v>44</v>
      </c>
      <c r="D15" s="17">
        <v>0</v>
      </c>
      <c r="E15" s="72">
        <v>46081</v>
      </c>
      <c r="F15" s="72">
        <v>46082</v>
      </c>
      <c r="G15" s="14"/>
      <c r="H15" s="14"/>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row>
    <row r="16" spans="1:113" s="3" customFormat="1" ht="30" customHeight="1" thickBot="1" x14ac:dyDescent="0.35">
      <c r="A16" s="45"/>
      <c r="B16" s="61" t="s">
        <v>51</v>
      </c>
      <c r="C16" s="53" t="s">
        <v>46</v>
      </c>
      <c r="D16" s="17">
        <v>0</v>
      </c>
      <c r="E16" s="72">
        <v>46081</v>
      </c>
      <c r="F16" s="72">
        <v>46082</v>
      </c>
      <c r="G16" s="14"/>
      <c r="H16" s="14"/>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row>
    <row r="17" spans="1:113" s="3" customFormat="1" ht="30" customHeight="1" thickBot="1" x14ac:dyDescent="0.35">
      <c r="A17" s="46" t="s">
        <v>10</v>
      </c>
      <c r="B17" s="18" t="s">
        <v>52</v>
      </c>
      <c r="C17" s="54"/>
      <c r="D17" s="19"/>
      <c r="E17" s="73"/>
      <c r="F17" s="74"/>
      <c r="G17" s="14"/>
      <c r="H17" s="14" t="str">
        <f t="shared" si="42"/>
        <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row>
    <row r="18" spans="1:113" s="3" customFormat="1" ht="30" customHeight="1" thickBot="1" x14ac:dyDescent="0.35">
      <c r="A18" s="46"/>
      <c r="B18" s="62" t="s">
        <v>53</v>
      </c>
      <c r="C18" s="55" t="s">
        <v>54</v>
      </c>
      <c r="D18" s="20">
        <v>0</v>
      </c>
      <c r="E18" s="75">
        <v>46083</v>
      </c>
      <c r="F18" s="75">
        <v>46103</v>
      </c>
      <c r="G18" s="14"/>
      <c r="H18" s="14">
        <f t="shared" si="42"/>
        <v>21</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row>
    <row r="19" spans="1:113" s="3" customFormat="1" ht="30" customHeight="1" thickBot="1" x14ac:dyDescent="0.35">
      <c r="A19" s="45"/>
      <c r="B19" s="62" t="s">
        <v>55</v>
      </c>
      <c r="C19" s="55" t="s">
        <v>54</v>
      </c>
      <c r="D19" s="20">
        <v>0</v>
      </c>
      <c r="E19" s="75">
        <v>46083</v>
      </c>
      <c r="F19" s="75">
        <v>46103</v>
      </c>
      <c r="G19" s="14"/>
      <c r="H19" s="14">
        <f t="shared" si="42"/>
        <v>21</v>
      </c>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row>
    <row r="20" spans="1:113" s="3" customFormat="1" ht="30" customHeight="1" thickBot="1" x14ac:dyDescent="0.35">
      <c r="A20" s="45"/>
      <c r="B20" s="62" t="s">
        <v>56</v>
      </c>
      <c r="C20" s="55" t="s">
        <v>54</v>
      </c>
      <c r="D20" s="20">
        <v>0</v>
      </c>
      <c r="E20" s="75">
        <v>46083</v>
      </c>
      <c r="F20" s="75">
        <v>46103</v>
      </c>
      <c r="G20" s="14"/>
      <c r="H20" s="14">
        <f t="shared" si="42"/>
        <v>21</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row>
    <row r="21" spans="1:113" s="3" customFormat="1" ht="30" customHeight="1" thickBot="1" x14ac:dyDescent="0.35">
      <c r="A21" s="45"/>
      <c r="B21" s="62" t="s">
        <v>57</v>
      </c>
      <c r="C21" s="55" t="s">
        <v>54</v>
      </c>
      <c r="D21" s="20">
        <v>0</v>
      </c>
      <c r="E21" s="75">
        <v>46083</v>
      </c>
      <c r="F21" s="75">
        <v>46103</v>
      </c>
      <c r="G21" s="14"/>
      <c r="H21" s="14">
        <f t="shared" si="42"/>
        <v>21</v>
      </c>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row>
    <row r="22" spans="1:113" s="3" customFormat="1" ht="30" customHeight="1" thickBot="1" x14ac:dyDescent="0.35">
      <c r="A22" s="45"/>
      <c r="B22" s="62" t="s">
        <v>58</v>
      </c>
      <c r="C22" s="55" t="s">
        <v>54</v>
      </c>
      <c r="D22" s="20">
        <v>0</v>
      </c>
      <c r="E22" s="75">
        <v>46083</v>
      </c>
      <c r="F22" s="75">
        <v>46103</v>
      </c>
      <c r="G22" s="14"/>
      <c r="H22" s="14">
        <f t="shared" si="42"/>
        <v>21</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row>
    <row r="23" spans="1:113" s="3" customFormat="1" ht="30" customHeight="1" thickBot="1" x14ac:dyDescent="0.35">
      <c r="A23" s="45"/>
      <c r="B23" s="62" t="s">
        <v>59</v>
      </c>
      <c r="C23" s="55" t="s">
        <v>54</v>
      </c>
      <c r="D23" s="20">
        <v>0</v>
      </c>
      <c r="E23" s="75">
        <v>46083</v>
      </c>
      <c r="F23" s="75">
        <v>46103</v>
      </c>
      <c r="G23" s="14"/>
      <c r="H23" s="14"/>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row>
    <row r="24" spans="1:113" s="3" customFormat="1" ht="30" customHeight="1" thickBot="1" x14ac:dyDescent="0.35">
      <c r="A24" s="45"/>
      <c r="B24" s="62" t="s">
        <v>60</v>
      </c>
      <c r="C24" s="55" t="s">
        <v>54</v>
      </c>
      <c r="D24" s="20">
        <v>0</v>
      </c>
      <c r="E24" s="75">
        <v>46083</v>
      </c>
      <c r="F24" s="75">
        <v>46103</v>
      </c>
      <c r="G24" s="14"/>
      <c r="H24" s="14"/>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row>
    <row r="25" spans="1:113" s="3" customFormat="1" ht="30" customHeight="1" thickBot="1" x14ac:dyDescent="0.35">
      <c r="A25" s="45" t="s">
        <v>11</v>
      </c>
      <c r="B25" s="21" t="s">
        <v>61</v>
      </c>
      <c r="C25" s="56"/>
      <c r="D25" s="22"/>
      <c r="E25" s="76"/>
      <c r="F25" s="77"/>
      <c r="G25" s="14"/>
      <c r="H25" s="14" t="str">
        <f t="shared" si="42"/>
        <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row>
    <row r="26" spans="1:113" s="3" customFormat="1" ht="30" customHeight="1" thickBot="1" x14ac:dyDescent="0.35">
      <c r="A26" s="45"/>
      <c r="B26" s="63" t="s">
        <v>62</v>
      </c>
      <c r="C26" s="57" t="s">
        <v>54</v>
      </c>
      <c r="D26" s="23">
        <v>0</v>
      </c>
      <c r="E26" s="78">
        <v>46104</v>
      </c>
      <c r="F26" s="78">
        <v>46138</v>
      </c>
      <c r="G26" s="14"/>
      <c r="H26" s="14">
        <f t="shared" si="42"/>
        <v>35</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row>
    <row r="27" spans="1:113" s="3" customFormat="1" ht="30" customHeight="1" thickBot="1" x14ac:dyDescent="0.35">
      <c r="A27" s="45"/>
      <c r="B27" s="63" t="s">
        <v>63</v>
      </c>
      <c r="C27" s="57" t="s">
        <v>54</v>
      </c>
      <c r="D27" s="23">
        <v>0</v>
      </c>
      <c r="E27" s="78">
        <v>46104</v>
      </c>
      <c r="F27" s="78">
        <v>46138</v>
      </c>
      <c r="G27" s="14"/>
      <c r="H27" s="14">
        <f t="shared" si="42"/>
        <v>35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row>
    <row r="28" spans="1:113" s="3" customFormat="1" ht="30" customHeight="1" thickBot="1" x14ac:dyDescent="0.35">
      <c r="A28" s="45"/>
      <c r="B28" s="63" t="s">
        <v>64</v>
      </c>
      <c r="C28" s="57" t="s">
        <v>54</v>
      </c>
      <c r="D28" s="23">
        <v>0</v>
      </c>
      <c r="E28" s="78">
        <v>46104</v>
      </c>
      <c r="F28" s="78">
        <v>46138</v>
      </c>
      <c r="G28" s="14"/>
      <c r="H28" s="14">
        <f t="shared" si="42"/>
        <v>35</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row>
    <row r="29" spans="1:113" s="3" customFormat="1" ht="30" customHeight="1" thickBot="1" x14ac:dyDescent="0.35">
      <c r="A29" s="45"/>
      <c r="B29" s="63" t="s">
        <v>65</v>
      </c>
      <c r="C29" s="57" t="s">
        <v>54</v>
      </c>
      <c r="D29" s="23">
        <v>0</v>
      </c>
      <c r="E29" s="78">
        <v>46104</v>
      </c>
      <c r="F29" s="78">
        <v>46138</v>
      </c>
      <c r="G29" s="14"/>
      <c r="H29" s="14">
        <f t="shared" si="42"/>
        <v>35</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row>
    <row r="30" spans="1:113" s="3" customFormat="1" ht="30" customHeight="1" thickBot="1" x14ac:dyDescent="0.35">
      <c r="A30" s="45" t="s">
        <v>11</v>
      </c>
      <c r="B30" s="24" t="s">
        <v>66</v>
      </c>
      <c r="C30" s="58"/>
      <c r="D30" s="25"/>
      <c r="E30" s="79"/>
      <c r="F30" s="80"/>
      <c r="G30" s="14"/>
      <c r="H30" s="14" t="str">
        <f t="shared" si="42"/>
        <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row>
    <row r="31" spans="1:113" s="3" customFormat="1" ht="30" customHeight="1" thickBot="1" x14ac:dyDescent="0.35">
      <c r="A31" s="45"/>
      <c r="B31" s="64" t="s">
        <v>67</v>
      </c>
      <c r="C31" s="59" t="s">
        <v>54</v>
      </c>
      <c r="D31" s="26">
        <v>0</v>
      </c>
      <c r="E31" s="81">
        <v>46139</v>
      </c>
      <c r="F31" s="81">
        <v>46145</v>
      </c>
      <c r="G31" s="14"/>
      <c r="H31" s="14">
        <f t="shared" si="42"/>
        <v>7</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row>
    <row r="32" spans="1:113" s="3" customFormat="1" ht="30" customHeight="1" thickBot="1" x14ac:dyDescent="0.35">
      <c r="A32" s="45"/>
      <c r="B32" s="64" t="s">
        <v>68</v>
      </c>
      <c r="C32" s="59" t="s">
        <v>54</v>
      </c>
      <c r="D32" s="26">
        <v>0</v>
      </c>
      <c r="E32" s="81">
        <v>46139</v>
      </c>
      <c r="F32" s="81">
        <v>46145</v>
      </c>
      <c r="G32" s="14"/>
      <c r="H32" s="14">
        <f t="shared" si="42"/>
        <v>7</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row>
    <row r="33" spans="1:113" s="3" customFormat="1" ht="30" customHeight="1" thickBot="1" x14ac:dyDescent="0.35">
      <c r="A33" s="45"/>
      <c r="B33" s="64" t="s">
        <v>69</v>
      </c>
      <c r="C33" s="59" t="s">
        <v>54</v>
      </c>
      <c r="D33" s="26">
        <v>0</v>
      </c>
      <c r="E33" s="81">
        <v>46139</v>
      </c>
      <c r="F33" s="81">
        <v>46145</v>
      </c>
      <c r="G33" s="14"/>
      <c r="H33" s="14">
        <f t="shared" si="42"/>
        <v>7</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row>
    <row r="34" spans="1:113" s="3" customFormat="1" ht="30" customHeight="1" thickBot="1" x14ac:dyDescent="0.35">
      <c r="A34" s="45"/>
      <c r="B34" s="64" t="s">
        <v>70</v>
      </c>
      <c r="C34" s="59" t="s">
        <v>54</v>
      </c>
      <c r="D34" s="26">
        <v>0</v>
      </c>
      <c r="E34" s="81">
        <v>46139</v>
      </c>
      <c r="F34" s="81">
        <v>46145</v>
      </c>
      <c r="G34" s="14"/>
      <c r="H34" s="14">
        <f t="shared" si="42"/>
        <v>7</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row>
    <row r="35" spans="1:113" s="3" customFormat="1" ht="30" customHeight="1" thickBot="1" x14ac:dyDescent="0.35">
      <c r="A35" s="45"/>
      <c r="B35" s="64" t="s">
        <v>71</v>
      </c>
      <c r="C35" s="59" t="s">
        <v>54</v>
      </c>
      <c r="D35" s="26">
        <v>0</v>
      </c>
      <c r="E35" s="81">
        <v>46139</v>
      </c>
      <c r="F35" s="81">
        <v>46145</v>
      </c>
      <c r="G35" s="14"/>
      <c r="H35" s="14">
        <f t="shared" si="42"/>
        <v>7</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row>
    <row r="36" spans="1:113" s="3" customFormat="1" ht="30" customHeight="1" thickBot="1" x14ac:dyDescent="0.35">
      <c r="A36" s="45" t="s">
        <v>12</v>
      </c>
      <c r="B36" s="65"/>
      <c r="C36" s="60"/>
      <c r="D36" s="13"/>
      <c r="E36" s="82"/>
      <c r="F36" s="82"/>
      <c r="G36" s="14"/>
      <c r="H36" s="14" t="str">
        <f t="shared" si="42"/>
        <v/>
      </c>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row>
    <row r="37" spans="1:113" s="3" customFormat="1" ht="30" customHeight="1" thickBot="1" x14ac:dyDescent="0.35">
      <c r="A37" s="46" t="s">
        <v>13</v>
      </c>
      <c r="B37" s="27" t="s">
        <v>15</v>
      </c>
      <c r="C37" s="28"/>
      <c r="D37" s="29"/>
      <c r="E37" s="83"/>
      <c r="F37" s="84"/>
      <c r="G37" s="30"/>
      <c r="H37" s="30" t="str">
        <f t="shared" si="42"/>
        <v/>
      </c>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row>
    <row r="38" spans="1:113" ht="30" customHeight="1" x14ac:dyDescent="0.3">
      <c r="G38" s="6"/>
    </row>
    <row r="39" spans="1:113" ht="30" customHeight="1" x14ac:dyDescent="0.3">
      <c r="C39" s="11"/>
      <c r="F39" s="47"/>
    </row>
    <row r="40" spans="1:113" ht="30" customHeight="1" x14ac:dyDescent="0.3">
      <c r="C40" s="12"/>
    </row>
  </sheetData>
  <mergeCells count="18">
    <mergeCell ref="BF4:BL4"/>
    <mergeCell ref="E3:F3"/>
    <mergeCell ref="I4:O4"/>
    <mergeCell ref="P4:V4"/>
    <mergeCell ref="W4:AC4"/>
    <mergeCell ref="AD4:AJ4"/>
    <mergeCell ref="C3:D3"/>
    <mergeCell ref="C4:D4"/>
    <mergeCell ref="AK4:AQ4"/>
    <mergeCell ref="AR4:AX4"/>
    <mergeCell ref="AY4:BE4"/>
    <mergeCell ref="CV4:DB4"/>
    <mergeCell ref="DC4:DI4"/>
    <mergeCell ref="BM4:BS4"/>
    <mergeCell ref="BT4:BZ4"/>
    <mergeCell ref="CA4:CG4"/>
    <mergeCell ref="CH4:CN4"/>
    <mergeCell ref="CO4:CU4"/>
  </mergeCells>
  <conditionalFormatting sqref="D7:D37">
    <cfRule type="dataBar" priority="35">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DI37">
    <cfRule type="expression" dxfId="8" priority="3">
      <formula>AND(TODAY()&gt;=I$5,TODAY()&lt;J$5)</formula>
    </cfRule>
  </conditionalFormatting>
  <conditionalFormatting sqref="I7:DI37">
    <cfRule type="expression" dxfId="7" priority="1">
      <formula>AND(Início_da_tarefa&lt;=I$5,ROUNDDOWN((Término_da_tarefa-Início_da_tarefa+1)*Progresso_da_tarefa,0)+Início_da_tarefa-1&gt;=I$5)</formula>
    </cfRule>
    <cfRule type="expression" dxfId="6" priority="2"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heetViews>
  <sheetFormatPr defaultColWidth="9.109375" defaultRowHeight="13.8" x14ac:dyDescent="0.3"/>
  <cols>
    <col min="1" max="1" width="94.44140625" style="35" customWidth="1"/>
    <col min="2" max="16384" width="9.109375" style="2"/>
  </cols>
  <sheetData>
    <row r="1" spans="1:2" ht="46.5" customHeight="1" x14ac:dyDescent="0.3"/>
    <row r="2" spans="1:2" s="37" customFormat="1" ht="15.6" x14ac:dyDescent="0.3">
      <c r="A2" s="36" t="s">
        <v>23</v>
      </c>
      <c r="B2" s="36"/>
    </row>
    <row r="3" spans="1:2" s="41" customFormat="1" ht="27" customHeight="1" x14ac:dyDescent="0.3">
      <c r="A3" s="69" t="s">
        <v>24</v>
      </c>
      <c r="B3" s="42"/>
    </row>
    <row r="4" spans="1:2" s="38" customFormat="1" ht="25.8" x14ac:dyDescent="0.5">
      <c r="A4" s="39" t="s">
        <v>25</v>
      </c>
    </row>
    <row r="5" spans="1:2" ht="74.099999999999994" customHeight="1" x14ac:dyDescent="0.3">
      <c r="A5" s="40" t="s">
        <v>26</v>
      </c>
    </row>
    <row r="6" spans="1:2" ht="26.25" customHeight="1" x14ac:dyDescent="0.3">
      <c r="A6" s="39" t="s">
        <v>27</v>
      </c>
    </row>
    <row r="7" spans="1:2" s="35" customFormat="1" ht="204.9" customHeight="1" x14ac:dyDescent="0.3">
      <c r="A7" s="44" t="s">
        <v>28</v>
      </c>
    </row>
    <row r="8" spans="1:2" s="38" customFormat="1" ht="25.8" x14ac:dyDescent="0.5">
      <c r="A8" s="39" t="s">
        <v>29</v>
      </c>
    </row>
    <row r="9" spans="1:2" ht="57.6" x14ac:dyDescent="0.3">
      <c r="A9" s="40" t="s">
        <v>30</v>
      </c>
    </row>
    <row r="10" spans="1:2" s="35" customFormat="1" ht="27.9" customHeight="1" x14ac:dyDescent="0.3">
      <c r="A10" s="43" t="s">
        <v>31</v>
      </c>
    </row>
    <row r="11" spans="1:2" s="38" customFormat="1" ht="25.8" x14ac:dyDescent="0.5">
      <c r="A11" s="39" t="s">
        <v>32</v>
      </c>
    </row>
    <row r="12" spans="1:2" ht="28.8" x14ac:dyDescent="0.3">
      <c r="A12" s="40" t="s">
        <v>33</v>
      </c>
    </row>
    <row r="13" spans="1:2" s="35" customFormat="1" ht="27.9" customHeight="1" x14ac:dyDescent="0.3">
      <c r="A13" s="43" t="s">
        <v>34</v>
      </c>
    </row>
    <row r="14" spans="1:2" s="38" customFormat="1" ht="25.8" x14ac:dyDescent="0.5">
      <c r="A14" s="39" t="s">
        <v>35</v>
      </c>
    </row>
    <row r="15" spans="1:2" ht="75" customHeight="1" x14ac:dyDescent="0.3">
      <c r="A15" s="40" t="s">
        <v>36</v>
      </c>
    </row>
    <row r="16" spans="1:2" ht="75" customHeight="1" x14ac:dyDescent="0.3">
      <c r="A16" s="40" t="s">
        <v>37</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F4F4-2792-420F-9EC0-4FE5C7195B7F}">
  <sheetPr>
    <pageSetUpPr fitToPage="1"/>
  </sheetPr>
  <dimension ref="A1:LK48"/>
  <sheetViews>
    <sheetView showGridLines="0" tabSelected="1" showRuler="0" topLeftCell="E1" zoomScale="85" zoomScaleNormal="85" zoomScalePageLayoutView="70" workbookViewId="0">
      <pane ySplit="6" topLeftCell="A35" activePane="bottomLeft" state="frozen"/>
      <selection pane="bottomLeft" activeCell="B1" sqref="B1:IZ43"/>
    </sheetView>
  </sheetViews>
  <sheetFormatPr defaultRowHeight="30" customHeight="1" x14ac:dyDescent="0.3"/>
  <cols>
    <col min="1" max="1" width="2.6640625" style="45" customWidth="1"/>
    <col min="2" max="2" width="36.88671875" customWidth="1"/>
    <col min="3" max="3" width="30.6640625" customWidth="1"/>
    <col min="4" max="4" width="10.6640625" customWidth="1"/>
    <col min="5" max="5" width="10.44140625" style="5" customWidth="1"/>
    <col min="6" max="6" width="10.44140625" customWidth="1"/>
    <col min="7" max="7" width="2.6640625" customWidth="1"/>
    <col min="8" max="8" width="6" hidden="1" customWidth="1"/>
    <col min="9" max="162" width="2.5546875" hidden="1" customWidth="1"/>
    <col min="163" max="323" width="2.5546875" customWidth="1"/>
  </cols>
  <sheetData>
    <row r="1" spans="1:323" ht="30" customHeight="1" x14ac:dyDescent="0.55000000000000004">
      <c r="A1" s="46" t="s">
        <v>0</v>
      </c>
      <c r="B1" s="49" t="s">
        <v>38</v>
      </c>
      <c r="C1" s="1"/>
      <c r="D1" s="2"/>
      <c r="E1" s="4"/>
      <c r="F1" s="34"/>
      <c r="H1" s="2"/>
      <c r="I1" s="67"/>
    </row>
    <row r="2" spans="1:323" ht="30" customHeight="1" x14ac:dyDescent="0.35">
      <c r="A2" s="45" t="s">
        <v>1</v>
      </c>
      <c r="B2" s="50" t="s">
        <v>40</v>
      </c>
      <c r="I2" s="68"/>
    </row>
    <row r="3" spans="1:323" ht="30" customHeight="1" x14ac:dyDescent="0.3">
      <c r="A3" s="45" t="s">
        <v>2</v>
      </c>
      <c r="B3" s="51" t="s">
        <v>39</v>
      </c>
      <c r="C3" s="91" t="s">
        <v>16</v>
      </c>
      <c r="D3" s="92"/>
      <c r="E3" s="94">
        <v>46081</v>
      </c>
      <c r="F3" s="95"/>
    </row>
    <row r="4" spans="1:323" ht="30" customHeight="1" x14ac:dyDescent="0.3">
      <c r="A4" s="46" t="s">
        <v>3</v>
      </c>
      <c r="C4" s="91" t="s">
        <v>17</v>
      </c>
      <c r="D4" s="92"/>
      <c r="E4" s="7">
        <v>1</v>
      </c>
      <c r="I4" s="88">
        <f>I5</f>
        <v>46076</v>
      </c>
      <c r="J4" s="89"/>
      <c r="K4" s="89"/>
      <c r="L4" s="89"/>
      <c r="M4" s="89"/>
      <c r="N4" s="89"/>
      <c r="O4" s="90"/>
      <c r="P4" s="88">
        <f>P5</f>
        <v>46083</v>
      </c>
      <c r="Q4" s="89"/>
      <c r="R4" s="89"/>
      <c r="S4" s="89"/>
      <c r="T4" s="89"/>
      <c r="U4" s="89"/>
      <c r="V4" s="90"/>
      <c r="W4" s="88">
        <f>W5</f>
        <v>46090</v>
      </c>
      <c r="X4" s="89"/>
      <c r="Y4" s="89"/>
      <c r="Z4" s="89"/>
      <c r="AA4" s="89"/>
      <c r="AB4" s="89"/>
      <c r="AC4" s="90"/>
      <c r="AD4" s="88">
        <f>AD5</f>
        <v>46097</v>
      </c>
      <c r="AE4" s="89"/>
      <c r="AF4" s="89"/>
      <c r="AG4" s="89"/>
      <c r="AH4" s="89"/>
      <c r="AI4" s="89"/>
      <c r="AJ4" s="90"/>
      <c r="AK4" s="88">
        <f>AK5</f>
        <v>46104</v>
      </c>
      <c r="AL4" s="89"/>
      <c r="AM4" s="89"/>
      <c r="AN4" s="89"/>
      <c r="AO4" s="89"/>
      <c r="AP4" s="89"/>
      <c r="AQ4" s="90"/>
      <c r="AR4" s="88">
        <f>AR5</f>
        <v>46111</v>
      </c>
      <c r="AS4" s="89"/>
      <c r="AT4" s="89"/>
      <c r="AU4" s="89"/>
      <c r="AV4" s="89"/>
      <c r="AW4" s="89"/>
      <c r="AX4" s="90"/>
      <c r="AY4" s="88">
        <f>AY5</f>
        <v>46118</v>
      </c>
      <c r="AZ4" s="89"/>
      <c r="BA4" s="89"/>
      <c r="BB4" s="89"/>
      <c r="BC4" s="89"/>
      <c r="BD4" s="89"/>
      <c r="BE4" s="90"/>
      <c r="BF4" s="88">
        <f>BF5</f>
        <v>46125</v>
      </c>
      <c r="BG4" s="89"/>
      <c r="BH4" s="89"/>
      <c r="BI4" s="89"/>
      <c r="BJ4" s="89"/>
      <c r="BK4" s="89"/>
      <c r="BL4" s="90"/>
      <c r="BM4" s="88">
        <f>BM5</f>
        <v>46132</v>
      </c>
      <c r="BN4" s="89"/>
      <c r="BO4" s="89"/>
      <c r="BP4" s="89"/>
      <c r="BQ4" s="89"/>
      <c r="BR4" s="89"/>
      <c r="BS4" s="90"/>
      <c r="BT4" s="88">
        <f>BT5</f>
        <v>46139</v>
      </c>
      <c r="BU4" s="89"/>
      <c r="BV4" s="89"/>
      <c r="BW4" s="89"/>
      <c r="BX4" s="89"/>
      <c r="BY4" s="89"/>
      <c r="BZ4" s="90"/>
      <c r="CA4" s="88">
        <f>CA5</f>
        <v>46146</v>
      </c>
      <c r="CB4" s="89"/>
      <c r="CC4" s="89"/>
      <c r="CD4" s="89"/>
      <c r="CE4" s="89"/>
      <c r="CF4" s="89"/>
      <c r="CG4" s="90"/>
      <c r="CH4" s="88">
        <f>CH5</f>
        <v>46153</v>
      </c>
      <c r="CI4" s="89"/>
      <c r="CJ4" s="89"/>
      <c r="CK4" s="89"/>
      <c r="CL4" s="89"/>
      <c r="CM4" s="89"/>
      <c r="CN4" s="90"/>
      <c r="CO4" s="88">
        <f>CO5</f>
        <v>46160</v>
      </c>
      <c r="CP4" s="89"/>
      <c r="CQ4" s="89"/>
      <c r="CR4" s="89"/>
      <c r="CS4" s="89"/>
      <c r="CT4" s="89"/>
      <c r="CU4" s="90"/>
      <c r="CV4" s="88">
        <f>CV5</f>
        <v>46167</v>
      </c>
      <c r="CW4" s="89"/>
      <c r="CX4" s="89"/>
      <c r="CY4" s="89"/>
      <c r="CZ4" s="89"/>
      <c r="DA4" s="89"/>
      <c r="DB4" s="90"/>
      <c r="DC4" s="88">
        <f>DC5</f>
        <v>46174</v>
      </c>
      <c r="DD4" s="89"/>
      <c r="DE4" s="89"/>
      <c r="DF4" s="89"/>
      <c r="DG4" s="89"/>
      <c r="DH4" s="89"/>
      <c r="DI4" s="90"/>
      <c r="DJ4" s="88">
        <f>DJ5</f>
        <v>46181</v>
      </c>
      <c r="DK4" s="89"/>
      <c r="DL4" s="89"/>
      <c r="DM4" s="89"/>
      <c r="DN4" s="89"/>
      <c r="DO4" s="89"/>
      <c r="DP4" s="90"/>
      <c r="DQ4" s="88">
        <f>DQ5</f>
        <v>46188</v>
      </c>
      <c r="DR4" s="89"/>
      <c r="DS4" s="89"/>
      <c r="DT4" s="89"/>
      <c r="DU4" s="89"/>
      <c r="DV4" s="89"/>
      <c r="DW4" s="90"/>
      <c r="DX4" s="88">
        <f>DX5</f>
        <v>46195</v>
      </c>
      <c r="DY4" s="89"/>
      <c r="DZ4" s="89"/>
      <c r="EA4" s="89"/>
      <c r="EB4" s="89"/>
      <c r="EC4" s="89"/>
      <c r="ED4" s="90"/>
      <c r="EE4" s="88">
        <f>EE5</f>
        <v>46202</v>
      </c>
      <c r="EF4" s="89"/>
      <c r="EG4" s="89"/>
      <c r="EH4" s="89"/>
      <c r="EI4" s="89"/>
      <c r="EJ4" s="89"/>
      <c r="EK4" s="90"/>
      <c r="EL4" s="88">
        <f>EL5</f>
        <v>46209</v>
      </c>
      <c r="EM4" s="89"/>
      <c r="EN4" s="89"/>
      <c r="EO4" s="89"/>
      <c r="EP4" s="89"/>
      <c r="EQ4" s="89"/>
      <c r="ER4" s="90"/>
      <c r="ES4" s="88">
        <f>ES5</f>
        <v>46216</v>
      </c>
      <c r="ET4" s="89"/>
      <c r="EU4" s="89"/>
      <c r="EV4" s="89"/>
      <c r="EW4" s="89"/>
      <c r="EX4" s="89"/>
      <c r="EY4" s="90"/>
      <c r="EZ4" s="88">
        <f>EZ5</f>
        <v>46223</v>
      </c>
      <c r="FA4" s="89"/>
      <c r="FB4" s="89"/>
      <c r="FC4" s="89"/>
      <c r="FD4" s="89"/>
      <c r="FE4" s="89"/>
      <c r="FF4" s="90"/>
      <c r="FG4" s="88">
        <f>FG5</f>
        <v>46230</v>
      </c>
      <c r="FH4" s="89"/>
      <c r="FI4" s="89"/>
      <c r="FJ4" s="89"/>
      <c r="FK4" s="89"/>
      <c r="FL4" s="89"/>
      <c r="FM4" s="90"/>
      <c r="FN4" s="88">
        <f>FN5</f>
        <v>46237</v>
      </c>
      <c r="FO4" s="89"/>
      <c r="FP4" s="89"/>
      <c r="FQ4" s="89"/>
      <c r="FR4" s="89"/>
      <c r="FS4" s="89"/>
      <c r="FT4" s="90"/>
      <c r="FU4" s="88">
        <f>FU5</f>
        <v>46244</v>
      </c>
      <c r="FV4" s="89"/>
      <c r="FW4" s="89"/>
      <c r="FX4" s="89"/>
      <c r="FY4" s="89"/>
      <c r="FZ4" s="89"/>
      <c r="GA4" s="90"/>
      <c r="GB4" s="88">
        <f>GB5</f>
        <v>46251</v>
      </c>
      <c r="GC4" s="89"/>
      <c r="GD4" s="89"/>
      <c r="GE4" s="89"/>
      <c r="GF4" s="89"/>
      <c r="GG4" s="89"/>
      <c r="GH4" s="90"/>
      <c r="GI4" s="88">
        <f>GI5</f>
        <v>46258</v>
      </c>
      <c r="GJ4" s="89"/>
      <c r="GK4" s="89"/>
      <c r="GL4" s="89"/>
      <c r="GM4" s="89"/>
      <c r="GN4" s="89"/>
      <c r="GO4" s="90"/>
      <c r="GP4" s="88">
        <f>GP5</f>
        <v>46265</v>
      </c>
      <c r="GQ4" s="89"/>
      <c r="GR4" s="89"/>
      <c r="GS4" s="89"/>
      <c r="GT4" s="89"/>
      <c r="GU4" s="89"/>
      <c r="GV4" s="90"/>
      <c r="GW4" s="88">
        <f>GW5</f>
        <v>46272</v>
      </c>
      <c r="GX4" s="89"/>
      <c r="GY4" s="89"/>
      <c r="GZ4" s="89"/>
      <c r="HA4" s="89"/>
      <c r="HB4" s="89"/>
      <c r="HC4" s="90"/>
      <c r="HD4" s="88">
        <f>HD5</f>
        <v>46279</v>
      </c>
      <c r="HE4" s="89"/>
      <c r="HF4" s="89"/>
      <c r="HG4" s="89"/>
      <c r="HH4" s="89"/>
      <c r="HI4" s="89"/>
      <c r="HJ4" s="90"/>
      <c r="HK4" s="88">
        <f>HK5</f>
        <v>46286</v>
      </c>
      <c r="HL4" s="89"/>
      <c r="HM4" s="89"/>
      <c r="HN4" s="89"/>
      <c r="HO4" s="89"/>
      <c r="HP4" s="89"/>
      <c r="HQ4" s="90"/>
      <c r="HR4" s="88">
        <f>HR5</f>
        <v>46293</v>
      </c>
      <c r="HS4" s="89"/>
      <c r="HT4" s="89"/>
      <c r="HU4" s="89"/>
      <c r="HV4" s="89"/>
      <c r="HW4" s="89"/>
      <c r="HX4" s="90"/>
      <c r="HY4" s="88">
        <f>HY5</f>
        <v>46300</v>
      </c>
      <c r="HZ4" s="89"/>
      <c r="IA4" s="89"/>
      <c r="IB4" s="89"/>
      <c r="IC4" s="89"/>
      <c r="ID4" s="89"/>
      <c r="IE4" s="90"/>
      <c r="IF4" s="88">
        <f>IF5</f>
        <v>46307</v>
      </c>
      <c r="IG4" s="89"/>
      <c r="IH4" s="89"/>
      <c r="II4" s="89"/>
      <c r="IJ4" s="89"/>
      <c r="IK4" s="89"/>
      <c r="IL4" s="90"/>
      <c r="IM4" s="88">
        <f>IM5</f>
        <v>46314</v>
      </c>
      <c r="IN4" s="89"/>
      <c r="IO4" s="89"/>
      <c r="IP4" s="89"/>
      <c r="IQ4" s="89"/>
      <c r="IR4" s="89"/>
      <c r="IS4" s="90"/>
      <c r="IT4" s="88">
        <f>IT5</f>
        <v>46321</v>
      </c>
      <c r="IU4" s="89"/>
      <c r="IV4" s="89"/>
      <c r="IW4" s="89"/>
      <c r="IX4" s="89"/>
      <c r="IY4" s="89"/>
      <c r="IZ4" s="90"/>
      <c r="JA4" s="88">
        <f>JA5</f>
        <v>46328</v>
      </c>
      <c r="JB4" s="89"/>
      <c r="JC4" s="89"/>
      <c r="JD4" s="89"/>
      <c r="JE4" s="89"/>
      <c r="JF4" s="89"/>
      <c r="JG4" s="90"/>
      <c r="JH4" s="88">
        <f>JH5</f>
        <v>46335</v>
      </c>
      <c r="JI4" s="89"/>
      <c r="JJ4" s="89"/>
      <c r="JK4" s="89"/>
      <c r="JL4" s="89"/>
      <c r="JM4" s="89"/>
      <c r="JN4" s="90"/>
      <c r="JO4" s="88">
        <f>JO5</f>
        <v>46342</v>
      </c>
      <c r="JP4" s="89"/>
      <c r="JQ4" s="89"/>
      <c r="JR4" s="89"/>
      <c r="JS4" s="89"/>
      <c r="JT4" s="89"/>
      <c r="JU4" s="90"/>
      <c r="JV4" s="88">
        <f>JV5</f>
        <v>46349</v>
      </c>
      <c r="JW4" s="89"/>
      <c r="JX4" s="89"/>
      <c r="JY4" s="89"/>
      <c r="JZ4" s="89"/>
      <c r="KA4" s="89"/>
      <c r="KB4" s="90"/>
      <c r="KC4" s="88">
        <f>KC5</f>
        <v>46356</v>
      </c>
      <c r="KD4" s="89"/>
      <c r="KE4" s="89"/>
      <c r="KF4" s="89"/>
      <c r="KG4" s="89"/>
      <c r="KH4" s="89"/>
      <c r="KI4" s="90"/>
      <c r="KJ4" s="88">
        <f>KJ5</f>
        <v>46363</v>
      </c>
      <c r="KK4" s="89"/>
      <c r="KL4" s="89"/>
      <c r="KM4" s="89"/>
      <c r="KN4" s="89"/>
      <c r="KO4" s="89"/>
      <c r="KP4" s="90"/>
      <c r="KQ4" s="88">
        <f>KQ5</f>
        <v>46370</v>
      </c>
      <c r="KR4" s="89"/>
      <c r="KS4" s="89"/>
      <c r="KT4" s="89"/>
      <c r="KU4" s="89"/>
      <c r="KV4" s="89"/>
      <c r="KW4" s="90"/>
      <c r="KX4" s="88">
        <f>KX5</f>
        <v>46377</v>
      </c>
      <c r="KY4" s="89"/>
      <c r="KZ4" s="89"/>
      <c r="LA4" s="89"/>
      <c r="LB4" s="89"/>
      <c r="LC4" s="89"/>
      <c r="LD4" s="90"/>
      <c r="LE4" s="88">
        <f>LE5</f>
        <v>46384</v>
      </c>
      <c r="LF4" s="89"/>
      <c r="LG4" s="89"/>
      <c r="LH4" s="89"/>
      <c r="LI4" s="89"/>
      <c r="LJ4" s="89"/>
      <c r="LK4" s="90"/>
    </row>
    <row r="5" spans="1:323" ht="15" customHeight="1" x14ac:dyDescent="0.3">
      <c r="A5" s="46" t="s">
        <v>4</v>
      </c>
      <c r="B5" s="66"/>
      <c r="C5" s="66"/>
      <c r="D5" s="66"/>
      <c r="E5" s="66"/>
      <c r="F5" s="66"/>
      <c r="G5" s="66"/>
      <c r="I5" s="85">
        <f>Início_do_projeto-WEEKDAY(Início_do_projeto,1)+2+7*(Semana_de_exibição-1)</f>
        <v>46076</v>
      </c>
      <c r="J5" s="86">
        <f>I5+1</f>
        <v>46077</v>
      </c>
      <c r="K5" s="86">
        <f t="shared" ref="K5:AX5" si="0">J5+1</f>
        <v>46078</v>
      </c>
      <c r="L5" s="86">
        <f t="shared" si="0"/>
        <v>46079</v>
      </c>
      <c r="M5" s="86">
        <f t="shared" si="0"/>
        <v>46080</v>
      </c>
      <c r="N5" s="86">
        <f t="shared" si="0"/>
        <v>46081</v>
      </c>
      <c r="O5" s="87">
        <f t="shared" si="0"/>
        <v>46082</v>
      </c>
      <c r="P5" s="85">
        <f>O5+1</f>
        <v>46083</v>
      </c>
      <c r="Q5" s="86">
        <f>P5+1</f>
        <v>46084</v>
      </c>
      <c r="R5" s="86">
        <f t="shared" si="0"/>
        <v>46085</v>
      </c>
      <c r="S5" s="86">
        <f t="shared" si="0"/>
        <v>46086</v>
      </c>
      <c r="T5" s="86">
        <f t="shared" si="0"/>
        <v>46087</v>
      </c>
      <c r="U5" s="86">
        <f t="shared" si="0"/>
        <v>46088</v>
      </c>
      <c r="V5" s="87">
        <f t="shared" si="0"/>
        <v>46089</v>
      </c>
      <c r="W5" s="85">
        <f>V5+1</f>
        <v>46090</v>
      </c>
      <c r="X5" s="86">
        <f>W5+1</f>
        <v>46091</v>
      </c>
      <c r="Y5" s="86">
        <f t="shared" si="0"/>
        <v>46092</v>
      </c>
      <c r="Z5" s="86">
        <f t="shared" si="0"/>
        <v>46093</v>
      </c>
      <c r="AA5" s="86">
        <f t="shared" si="0"/>
        <v>46094</v>
      </c>
      <c r="AB5" s="86">
        <f t="shared" si="0"/>
        <v>46095</v>
      </c>
      <c r="AC5" s="87">
        <f t="shared" si="0"/>
        <v>46096</v>
      </c>
      <c r="AD5" s="85">
        <f>AC5+1</f>
        <v>46097</v>
      </c>
      <c r="AE5" s="86">
        <f>AD5+1</f>
        <v>46098</v>
      </c>
      <c r="AF5" s="86">
        <f t="shared" si="0"/>
        <v>46099</v>
      </c>
      <c r="AG5" s="86">
        <f t="shared" si="0"/>
        <v>46100</v>
      </c>
      <c r="AH5" s="86">
        <f t="shared" si="0"/>
        <v>46101</v>
      </c>
      <c r="AI5" s="86">
        <f t="shared" si="0"/>
        <v>46102</v>
      </c>
      <c r="AJ5" s="87">
        <f t="shared" si="0"/>
        <v>46103</v>
      </c>
      <c r="AK5" s="85">
        <f>AJ5+1</f>
        <v>46104</v>
      </c>
      <c r="AL5" s="86">
        <f>AK5+1</f>
        <v>46105</v>
      </c>
      <c r="AM5" s="86">
        <f t="shared" si="0"/>
        <v>46106</v>
      </c>
      <c r="AN5" s="86">
        <f t="shared" si="0"/>
        <v>46107</v>
      </c>
      <c r="AO5" s="86">
        <f t="shared" si="0"/>
        <v>46108</v>
      </c>
      <c r="AP5" s="86">
        <f t="shared" si="0"/>
        <v>46109</v>
      </c>
      <c r="AQ5" s="87">
        <f t="shared" si="0"/>
        <v>46110</v>
      </c>
      <c r="AR5" s="85">
        <f>AQ5+1</f>
        <v>46111</v>
      </c>
      <c r="AS5" s="86">
        <f>AR5+1</f>
        <v>46112</v>
      </c>
      <c r="AT5" s="86">
        <f t="shared" si="0"/>
        <v>46113</v>
      </c>
      <c r="AU5" s="86">
        <f t="shared" si="0"/>
        <v>46114</v>
      </c>
      <c r="AV5" s="86">
        <f t="shared" si="0"/>
        <v>46115</v>
      </c>
      <c r="AW5" s="86">
        <f t="shared" si="0"/>
        <v>46116</v>
      </c>
      <c r="AX5" s="87">
        <f t="shared" si="0"/>
        <v>46117</v>
      </c>
      <c r="AY5" s="85">
        <f>AX5+1</f>
        <v>46118</v>
      </c>
      <c r="AZ5" s="86">
        <f>AY5+1</f>
        <v>46119</v>
      </c>
      <c r="BA5" s="86">
        <f t="shared" ref="BA5:BE5" si="1">AZ5+1</f>
        <v>46120</v>
      </c>
      <c r="BB5" s="86">
        <f t="shared" si="1"/>
        <v>46121</v>
      </c>
      <c r="BC5" s="86">
        <f t="shared" si="1"/>
        <v>46122</v>
      </c>
      <c r="BD5" s="86">
        <f t="shared" si="1"/>
        <v>46123</v>
      </c>
      <c r="BE5" s="87">
        <f t="shared" si="1"/>
        <v>46124</v>
      </c>
      <c r="BF5" s="85">
        <f>BE5+1</f>
        <v>46125</v>
      </c>
      <c r="BG5" s="86">
        <f>BF5+1</f>
        <v>46126</v>
      </c>
      <c r="BH5" s="86">
        <f t="shared" ref="BH5:BL5" si="2">BG5+1</f>
        <v>46127</v>
      </c>
      <c r="BI5" s="86">
        <f t="shared" si="2"/>
        <v>46128</v>
      </c>
      <c r="BJ5" s="86">
        <f t="shared" si="2"/>
        <v>46129</v>
      </c>
      <c r="BK5" s="86">
        <f t="shared" si="2"/>
        <v>46130</v>
      </c>
      <c r="BL5" s="87">
        <f t="shared" si="2"/>
        <v>46131</v>
      </c>
      <c r="BM5" s="85">
        <f>BL5+1</f>
        <v>46132</v>
      </c>
      <c r="BN5" s="86">
        <f>BM5+1</f>
        <v>46133</v>
      </c>
      <c r="BO5" s="86">
        <f t="shared" ref="BO5:BS5" si="3">BN5+1</f>
        <v>46134</v>
      </c>
      <c r="BP5" s="86">
        <f t="shared" si="3"/>
        <v>46135</v>
      </c>
      <c r="BQ5" s="86">
        <f t="shared" si="3"/>
        <v>46136</v>
      </c>
      <c r="BR5" s="86">
        <f t="shared" si="3"/>
        <v>46137</v>
      </c>
      <c r="BS5" s="87">
        <f t="shared" si="3"/>
        <v>46138</v>
      </c>
      <c r="BT5" s="85">
        <f>BS5+1</f>
        <v>46139</v>
      </c>
      <c r="BU5" s="86">
        <f>BT5+1</f>
        <v>46140</v>
      </c>
      <c r="BV5" s="86">
        <f t="shared" ref="BV5:BZ5" si="4">BU5+1</f>
        <v>46141</v>
      </c>
      <c r="BW5" s="86">
        <f t="shared" si="4"/>
        <v>46142</v>
      </c>
      <c r="BX5" s="86">
        <f t="shared" si="4"/>
        <v>46143</v>
      </c>
      <c r="BY5" s="86">
        <f t="shared" si="4"/>
        <v>46144</v>
      </c>
      <c r="BZ5" s="87">
        <f t="shared" si="4"/>
        <v>46145</v>
      </c>
      <c r="CA5" s="85">
        <f>BZ5+1</f>
        <v>46146</v>
      </c>
      <c r="CB5" s="86">
        <f>CA5+1</f>
        <v>46147</v>
      </c>
      <c r="CC5" s="86">
        <f t="shared" ref="CC5:CG5" si="5">CB5+1</f>
        <v>46148</v>
      </c>
      <c r="CD5" s="86">
        <f t="shared" si="5"/>
        <v>46149</v>
      </c>
      <c r="CE5" s="86">
        <f t="shared" si="5"/>
        <v>46150</v>
      </c>
      <c r="CF5" s="86">
        <f t="shared" si="5"/>
        <v>46151</v>
      </c>
      <c r="CG5" s="87">
        <f t="shared" si="5"/>
        <v>46152</v>
      </c>
      <c r="CH5" s="85">
        <f>CG5+1</f>
        <v>46153</v>
      </c>
      <c r="CI5" s="86">
        <f>CH5+1</f>
        <v>46154</v>
      </c>
      <c r="CJ5" s="86">
        <f t="shared" ref="CJ5:CN5" si="6">CI5+1</f>
        <v>46155</v>
      </c>
      <c r="CK5" s="86">
        <f t="shared" si="6"/>
        <v>46156</v>
      </c>
      <c r="CL5" s="86">
        <f t="shared" si="6"/>
        <v>46157</v>
      </c>
      <c r="CM5" s="86">
        <f t="shared" si="6"/>
        <v>46158</v>
      </c>
      <c r="CN5" s="87">
        <f t="shared" si="6"/>
        <v>46159</v>
      </c>
      <c r="CO5" s="85">
        <f>CN5+1</f>
        <v>46160</v>
      </c>
      <c r="CP5" s="86">
        <f>CO5+1</f>
        <v>46161</v>
      </c>
      <c r="CQ5" s="86">
        <f t="shared" ref="CQ5:CU5" si="7">CP5+1</f>
        <v>46162</v>
      </c>
      <c r="CR5" s="86">
        <f t="shared" si="7"/>
        <v>46163</v>
      </c>
      <c r="CS5" s="86">
        <f t="shared" si="7"/>
        <v>46164</v>
      </c>
      <c r="CT5" s="86">
        <f t="shared" si="7"/>
        <v>46165</v>
      </c>
      <c r="CU5" s="87">
        <f t="shared" si="7"/>
        <v>46166</v>
      </c>
      <c r="CV5" s="85">
        <f>CU5+1</f>
        <v>46167</v>
      </c>
      <c r="CW5" s="86">
        <f>CV5+1</f>
        <v>46168</v>
      </c>
      <c r="CX5" s="86">
        <f t="shared" ref="CX5:DB5" si="8">CW5+1</f>
        <v>46169</v>
      </c>
      <c r="CY5" s="86">
        <f t="shared" si="8"/>
        <v>46170</v>
      </c>
      <c r="CZ5" s="86">
        <f t="shared" si="8"/>
        <v>46171</v>
      </c>
      <c r="DA5" s="86">
        <f t="shared" si="8"/>
        <v>46172</v>
      </c>
      <c r="DB5" s="87">
        <f t="shared" si="8"/>
        <v>46173</v>
      </c>
      <c r="DC5" s="85">
        <f>DB5+1</f>
        <v>46174</v>
      </c>
      <c r="DD5" s="86">
        <f>DC5+1</f>
        <v>46175</v>
      </c>
      <c r="DE5" s="86">
        <f t="shared" ref="DE5:DI5" si="9">DD5+1</f>
        <v>46176</v>
      </c>
      <c r="DF5" s="86">
        <f t="shared" si="9"/>
        <v>46177</v>
      </c>
      <c r="DG5" s="86">
        <f t="shared" si="9"/>
        <v>46178</v>
      </c>
      <c r="DH5" s="86">
        <f t="shared" si="9"/>
        <v>46179</v>
      </c>
      <c r="DI5" s="87">
        <f t="shared" si="9"/>
        <v>46180</v>
      </c>
      <c r="DJ5" s="85">
        <f>DI5+1</f>
        <v>46181</v>
      </c>
      <c r="DK5" s="86">
        <f>DJ5+1</f>
        <v>46182</v>
      </c>
      <c r="DL5" s="86">
        <f t="shared" ref="DL5" si="10">DK5+1</f>
        <v>46183</v>
      </c>
      <c r="DM5" s="86">
        <f t="shared" ref="DM5" si="11">DL5+1</f>
        <v>46184</v>
      </c>
      <c r="DN5" s="86">
        <f t="shared" ref="DN5" si="12">DM5+1</f>
        <v>46185</v>
      </c>
      <c r="DO5" s="86">
        <f t="shared" ref="DO5" si="13">DN5+1</f>
        <v>46186</v>
      </c>
      <c r="DP5" s="87">
        <f t="shared" ref="DP5" si="14">DO5+1</f>
        <v>46187</v>
      </c>
      <c r="DQ5" s="85">
        <f>DP5+1</f>
        <v>46188</v>
      </c>
      <c r="DR5" s="86">
        <f>DQ5+1</f>
        <v>46189</v>
      </c>
      <c r="DS5" s="86">
        <f t="shared" ref="DS5" si="15">DR5+1</f>
        <v>46190</v>
      </c>
      <c r="DT5" s="86">
        <f t="shared" ref="DT5" si="16">DS5+1</f>
        <v>46191</v>
      </c>
      <c r="DU5" s="86">
        <f t="shared" ref="DU5" si="17">DT5+1</f>
        <v>46192</v>
      </c>
      <c r="DV5" s="86">
        <f t="shared" ref="DV5" si="18">DU5+1</f>
        <v>46193</v>
      </c>
      <c r="DW5" s="87">
        <f t="shared" ref="DW5" si="19">DV5+1</f>
        <v>46194</v>
      </c>
      <c r="DX5" s="85">
        <f>DW5+1</f>
        <v>46195</v>
      </c>
      <c r="DY5" s="86">
        <f>DX5+1</f>
        <v>46196</v>
      </c>
      <c r="DZ5" s="86">
        <f t="shared" ref="DZ5" si="20">DY5+1</f>
        <v>46197</v>
      </c>
      <c r="EA5" s="86">
        <f t="shared" ref="EA5" si="21">DZ5+1</f>
        <v>46198</v>
      </c>
      <c r="EB5" s="86">
        <f t="shared" ref="EB5" si="22">EA5+1</f>
        <v>46199</v>
      </c>
      <c r="EC5" s="86">
        <f t="shared" ref="EC5" si="23">EB5+1</f>
        <v>46200</v>
      </c>
      <c r="ED5" s="87">
        <f t="shared" ref="ED5" si="24">EC5+1</f>
        <v>46201</v>
      </c>
      <c r="EE5" s="85">
        <f>ED5+1</f>
        <v>46202</v>
      </c>
      <c r="EF5" s="86">
        <f>EE5+1</f>
        <v>46203</v>
      </c>
      <c r="EG5" s="86">
        <f t="shared" ref="EG5" si="25">EF5+1</f>
        <v>46204</v>
      </c>
      <c r="EH5" s="86">
        <f t="shared" ref="EH5" si="26">EG5+1</f>
        <v>46205</v>
      </c>
      <c r="EI5" s="86">
        <f t="shared" ref="EI5" si="27">EH5+1</f>
        <v>46206</v>
      </c>
      <c r="EJ5" s="86">
        <f t="shared" ref="EJ5" si="28">EI5+1</f>
        <v>46207</v>
      </c>
      <c r="EK5" s="87">
        <f t="shared" ref="EK5" si="29">EJ5+1</f>
        <v>46208</v>
      </c>
      <c r="EL5" s="85">
        <f>EK5+1</f>
        <v>46209</v>
      </c>
      <c r="EM5" s="86">
        <f>EL5+1</f>
        <v>46210</v>
      </c>
      <c r="EN5" s="86">
        <f t="shared" ref="EN5" si="30">EM5+1</f>
        <v>46211</v>
      </c>
      <c r="EO5" s="86">
        <f t="shared" ref="EO5" si="31">EN5+1</f>
        <v>46212</v>
      </c>
      <c r="EP5" s="86">
        <f t="shared" ref="EP5" si="32">EO5+1</f>
        <v>46213</v>
      </c>
      <c r="EQ5" s="86">
        <f t="shared" ref="EQ5" si="33">EP5+1</f>
        <v>46214</v>
      </c>
      <c r="ER5" s="87">
        <f t="shared" ref="ER5" si="34">EQ5+1</f>
        <v>46215</v>
      </c>
      <c r="ES5" s="85">
        <f>ER5+1</f>
        <v>46216</v>
      </c>
      <c r="ET5" s="86">
        <f>ES5+1</f>
        <v>46217</v>
      </c>
      <c r="EU5" s="86">
        <f t="shared" ref="EU5" si="35">ET5+1</f>
        <v>46218</v>
      </c>
      <c r="EV5" s="86">
        <f t="shared" ref="EV5" si="36">EU5+1</f>
        <v>46219</v>
      </c>
      <c r="EW5" s="86">
        <f t="shared" ref="EW5" si="37">EV5+1</f>
        <v>46220</v>
      </c>
      <c r="EX5" s="86">
        <f t="shared" ref="EX5" si="38">EW5+1</f>
        <v>46221</v>
      </c>
      <c r="EY5" s="87">
        <f t="shared" ref="EY5" si="39">EX5+1</f>
        <v>46222</v>
      </c>
      <c r="EZ5" s="85">
        <f>EY5+1</f>
        <v>46223</v>
      </c>
      <c r="FA5" s="86">
        <f>EZ5+1</f>
        <v>46224</v>
      </c>
      <c r="FB5" s="86">
        <f t="shared" ref="FB5" si="40">FA5+1</f>
        <v>46225</v>
      </c>
      <c r="FC5" s="86">
        <f t="shared" ref="FC5" si="41">FB5+1</f>
        <v>46226</v>
      </c>
      <c r="FD5" s="86">
        <f t="shared" ref="FD5" si="42">FC5+1</f>
        <v>46227</v>
      </c>
      <c r="FE5" s="86">
        <f t="shared" ref="FE5" si="43">FD5+1</f>
        <v>46228</v>
      </c>
      <c r="FF5" s="87">
        <f t="shared" ref="FF5" si="44">FE5+1</f>
        <v>46229</v>
      </c>
      <c r="FG5" s="85">
        <f>FF5+1</f>
        <v>46230</v>
      </c>
      <c r="FH5" s="86">
        <f>FG5+1</f>
        <v>46231</v>
      </c>
      <c r="FI5" s="86">
        <f t="shared" ref="FI5" si="45">FH5+1</f>
        <v>46232</v>
      </c>
      <c r="FJ5" s="86">
        <f t="shared" ref="FJ5" si="46">FI5+1</f>
        <v>46233</v>
      </c>
      <c r="FK5" s="86">
        <f t="shared" ref="FK5" si="47">FJ5+1</f>
        <v>46234</v>
      </c>
      <c r="FL5" s="86">
        <f t="shared" ref="FL5" si="48">FK5+1</f>
        <v>46235</v>
      </c>
      <c r="FM5" s="87">
        <f t="shared" ref="FM5" si="49">FL5+1</f>
        <v>46236</v>
      </c>
      <c r="FN5" s="85">
        <f>FM5+1</f>
        <v>46237</v>
      </c>
      <c r="FO5" s="86">
        <f>FN5+1</f>
        <v>46238</v>
      </c>
      <c r="FP5" s="86">
        <f t="shared" ref="FP5" si="50">FO5+1</f>
        <v>46239</v>
      </c>
      <c r="FQ5" s="86">
        <f t="shared" ref="FQ5" si="51">FP5+1</f>
        <v>46240</v>
      </c>
      <c r="FR5" s="86">
        <f t="shared" ref="FR5" si="52">FQ5+1</f>
        <v>46241</v>
      </c>
      <c r="FS5" s="86">
        <f t="shared" ref="FS5" si="53">FR5+1</f>
        <v>46242</v>
      </c>
      <c r="FT5" s="87">
        <f t="shared" ref="FT5" si="54">FS5+1</f>
        <v>46243</v>
      </c>
      <c r="FU5" s="85">
        <f>FT5+1</f>
        <v>46244</v>
      </c>
      <c r="FV5" s="86">
        <f>FU5+1</f>
        <v>46245</v>
      </c>
      <c r="FW5" s="86">
        <f t="shared" ref="FW5" si="55">FV5+1</f>
        <v>46246</v>
      </c>
      <c r="FX5" s="86">
        <f t="shared" ref="FX5" si="56">FW5+1</f>
        <v>46247</v>
      </c>
      <c r="FY5" s="86">
        <f t="shared" ref="FY5" si="57">FX5+1</f>
        <v>46248</v>
      </c>
      <c r="FZ5" s="86">
        <f t="shared" ref="FZ5" si="58">FY5+1</f>
        <v>46249</v>
      </c>
      <c r="GA5" s="87">
        <f t="shared" ref="GA5" si="59">FZ5+1</f>
        <v>46250</v>
      </c>
      <c r="GB5" s="85">
        <f>GA5+1</f>
        <v>46251</v>
      </c>
      <c r="GC5" s="86">
        <f>GB5+1</f>
        <v>46252</v>
      </c>
      <c r="GD5" s="86">
        <f t="shared" ref="GD5" si="60">GC5+1</f>
        <v>46253</v>
      </c>
      <c r="GE5" s="86">
        <f t="shared" ref="GE5" si="61">GD5+1</f>
        <v>46254</v>
      </c>
      <c r="GF5" s="86">
        <f t="shared" ref="GF5" si="62">GE5+1</f>
        <v>46255</v>
      </c>
      <c r="GG5" s="86">
        <f t="shared" ref="GG5" si="63">GF5+1</f>
        <v>46256</v>
      </c>
      <c r="GH5" s="87">
        <f t="shared" ref="GH5" si="64">GG5+1</f>
        <v>46257</v>
      </c>
      <c r="GI5" s="85">
        <f>GH5+1</f>
        <v>46258</v>
      </c>
      <c r="GJ5" s="86">
        <f>GI5+1</f>
        <v>46259</v>
      </c>
      <c r="GK5" s="86">
        <f t="shared" ref="GK5" si="65">GJ5+1</f>
        <v>46260</v>
      </c>
      <c r="GL5" s="86">
        <f t="shared" ref="GL5" si="66">GK5+1</f>
        <v>46261</v>
      </c>
      <c r="GM5" s="86">
        <f t="shared" ref="GM5" si="67">GL5+1</f>
        <v>46262</v>
      </c>
      <c r="GN5" s="86">
        <f t="shared" ref="GN5" si="68">GM5+1</f>
        <v>46263</v>
      </c>
      <c r="GO5" s="87">
        <f t="shared" ref="GO5" si="69">GN5+1</f>
        <v>46264</v>
      </c>
      <c r="GP5" s="85">
        <f>GO5+1</f>
        <v>46265</v>
      </c>
      <c r="GQ5" s="86">
        <f>GP5+1</f>
        <v>46266</v>
      </c>
      <c r="GR5" s="86">
        <f t="shared" ref="GR5" si="70">GQ5+1</f>
        <v>46267</v>
      </c>
      <c r="GS5" s="86">
        <f t="shared" ref="GS5" si="71">GR5+1</f>
        <v>46268</v>
      </c>
      <c r="GT5" s="86">
        <f t="shared" ref="GT5" si="72">GS5+1</f>
        <v>46269</v>
      </c>
      <c r="GU5" s="86">
        <f t="shared" ref="GU5" si="73">GT5+1</f>
        <v>46270</v>
      </c>
      <c r="GV5" s="87">
        <f t="shared" ref="GV5" si="74">GU5+1</f>
        <v>46271</v>
      </c>
      <c r="GW5" s="85">
        <f>GV5+1</f>
        <v>46272</v>
      </c>
      <c r="GX5" s="86">
        <f>GW5+1</f>
        <v>46273</v>
      </c>
      <c r="GY5" s="86">
        <f t="shared" ref="GY5" si="75">GX5+1</f>
        <v>46274</v>
      </c>
      <c r="GZ5" s="86">
        <f t="shared" ref="GZ5" si="76">GY5+1</f>
        <v>46275</v>
      </c>
      <c r="HA5" s="86">
        <f t="shared" ref="HA5" si="77">GZ5+1</f>
        <v>46276</v>
      </c>
      <c r="HB5" s="86">
        <f t="shared" ref="HB5" si="78">HA5+1</f>
        <v>46277</v>
      </c>
      <c r="HC5" s="87">
        <f t="shared" ref="HC5" si="79">HB5+1</f>
        <v>46278</v>
      </c>
      <c r="HD5" s="85">
        <f>HC5+1</f>
        <v>46279</v>
      </c>
      <c r="HE5" s="86">
        <f>HD5+1</f>
        <v>46280</v>
      </c>
      <c r="HF5" s="86">
        <f t="shared" ref="HF5" si="80">HE5+1</f>
        <v>46281</v>
      </c>
      <c r="HG5" s="86">
        <f t="shared" ref="HG5" si="81">HF5+1</f>
        <v>46282</v>
      </c>
      <c r="HH5" s="86">
        <f t="shared" ref="HH5" si="82">HG5+1</f>
        <v>46283</v>
      </c>
      <c r="HI5" s="86">
        <f t="shared" ref="HI5" si="83">HH5+1</f>
        <v>46284</v>
      </c>
      <c r="HJ5" s="87">
        <f t="shared" ref="HJ5" si="84">HI5+1</f>
        <v>46285</v>
      </c>
      <c r="HK5" s="85">
        <f>HJ5+1</f>
        <v>46286</v>
      </c>
      <c r="HL5" s="86">
        <f>HK5+1</f>
        <v>46287</v>
      </c>
      <c r="HM5" s="86">
        <f t="shared" ref="HM5" si="85">HL5+1</f>
        <v>46288</v>
      </c>
      <c r="HN5" s="86">
        <f t="shared" ref="HN5" si="86">HM5+1</f>
        <v>46289</v>
      </c>
      <c r="HO5" s="86">
        <f t="shared" ref="HO5" si="87">HN5+1</f>
        <v>46290</v>
      </c>
      <c r="HP5" s="86">
        <f t="shared" ref="HP5" si="88">HO5+1</f>
        <v>46291</v>
      </c>
      <c r="HQ5" s="87">
        <f t="shared" ref="HQ5" si="89">HP5+1</f>
        <v>46292</v>
      </c>
      <c r="HR5" s="85">
        <f>HQ5+1</f>
        <v>46293</v>
      </c>
      <c r="HS5" s="86">
        <f>HR5+1</f>
        <v>46294</v>
      </c>
      <c r="HT5" s="86">
        <f t="shared" ref="HT5" si="90">HS5+1</f>
        <v>46295</v>
      </c>
      <c r="HU5" s="86">
        <f t="shared" ref="HU5" si="91">HT5+1</f>
        <v>46296</v>
      </c>
      <c r="HV5" s="86">
        <f t="shared" ref="HV5" si="92">HU5+1</f>
        <v>46297</v>
      </c>
      <c r="HW5" s="86">
        <f t="shared" ref="HW5" si="93">HV5+1</f>
        <v>46298</v>
      </c>
      <c r="HX5" s="87">
        <f t="shared" ref="HX5" si="94">HW5+1</f>
        <v>46299</v>
      </c>
      <c r="HY5" s="85">
        <f>HX5+1</f>
        <v>46300</v>
      </c>
      <c r="HZ5" s="86">
        <f>HY5+1</f>
        <v>46301</v>
      </c>
      <c r="IA5" s="86">
        <f t="shared" ref="IA5" si="95">HZ5+1</f>
        <v>46302</v>
      </c>
      <c r="IB5" s="86">
        <f t="shared" ref="IB5" si="96">IA5+1</f>
        <v>46303</v>
      </c>
      <c r="IC5" s="86">
        <f t="shared" ref="IC5" si="97">IB5+1</f>
        <v>46304</v>
      </c>
      <c r="ID5" s="86">
        <f t="shared" ref="ID5" si="98">IC5+1</f>
        <v>46305</v>
      </c>
      <c r="IE5" s="87">
        <f t="shared" ref="IE5" si="99">ID5+1</f>
        <v>46306</v>
      </c>
      <c r="IF5" s="85">
        <f>IE5+1</f>
        <v>46307</v>
      </c>
      <c r="IG5" s="86">
        <f>IF5+1</f>
        <v>46308</v>
      </c>
      <c r="IH5" s="86">
        <f t="shared" ref="IH5" si="100">IG5+1</f>
        <v>46309</v>
      </c>
      <c r="II5" s="86">
        <f t="shared" ref="II5" si="101">IH5+1</f>
        <v>46310</v>
      </c>
      <c r="IJ5" s="86">
        <f t="shared" ref="IJ5" si="102">II5+1</f>
        <v>46311</v>
      </c>
      <c r="IK5" s="86">
        <f t="shared" ref="IK5" si="103">IJ5+1</f>
        <v>46312</v>
      </c>
      <c r="IL5" s="87">
        <f t="shared" ref="IL5" si="104">IK5+1</f>
        <v>46313</v>
      </c>
      <c r="IM5" s="85">
        <f>IL5+1</f>
        <v>46314</v>
      </c>
      <c r="IN5" s="86">
        <f>IM5+1</f>
        <v>46315</v>
      </c>
      <c r="IO5" s="86">
        <f t="shared" ref="IO5" si="105">IN5+1</f>
        <v>46316</v>
      </c>
      <c r="IP5" s="86">
        <f t="shared" ref="IP5" si="106">IO5+1</f>
        <v>46317</v>
      </c>
      <c r="IQ5" s="86">
        <f t="shared" ref="IQ5" si="107">IP5+1</f>
        <v>46318</v>
      </c>
      <c r="IR5" s="86">
        <f t="shared" ref="IR5" si="108">IQ5+1</f>
        <v>46319</v>
      </c>
      <c r="IS5" s="87">
        <f t="shared" ref="IS5" si="109">IR5+1</f>
        <v>46320</v>
      </c>
      <c r="IT5" s="85">
        <f>IS5+1</f>
        <v>46321</v>
      </c>
      <c r="IU5" s="86">
        <f>IT5+1</f>
        <v>46322</v>
      </c>
      <c r="IV5" s="86">
        <f t="shared" ref="IV5" si="110">IU5+1</f>
        <v>46323</v>
      </c>
      <c r="IW5" s="86">
        <f t="shared" ref="IW5" si="111">IV5+1</f>
        <v>46324</v>
      </c>
      <c r="IX5" s="86">
        <f t="shared" ref="IX5" si="112">IW5+1</f>
        <v>46325</v>
      </c>
      <c r="IY5" s="86">
        <f t="shared" ref="IY5" si="113">IX5+1</f>
        <v>46326</v>
      </c>
      <c r="IZ5" s="87">
        <f t="shared" ref="IZ5" si="114">IY5+1</f>
        <v>46327</v>
      </c>
      <c r="JA5" s="85">
        <f>IZ5+1</f>
        <v>46328</v>
      </c>
      <c r="JB5" s="86">
        <f>JA5+1</f>
        <v>46329</v>
      </c>
      <c r="JC5" s="86">
        <f t="shared" ref="JC5" si="115">JB5+1</f>
        <v>46330</v>
      </c>
      <c r="JD5" s="86">
        <f t="shared" ref="JD5" si="116">JC5+1</f>
        <v>46331</v>
      </c>
      <c r="JE5" s="86">
        <f t="shared" ref="JE5" si="117">JD5+1</f>
        <v>46332</v>
      </c>
      <c r="JF5" s="86">
        <f t="shared" ref="JF5" si="118">JE5+1</f>
        <v>46333</v>
      </c>
      <c r="JG5" s="87">
        <f t="shared" ref="JG5" si="119">JF5+1</f>
        <v>46334</v>
      </c>
      <c r="JH5" s="85">
        <f>JG5+1</f>
        <v>46335</v>
      </c>
      <c r="JI5" s="86">
        <f>JH5+1</f>
        <v>46336</v>
      </c>
      <c r="JJ5" s="86">
        <f t="shared" ref="JJ5" si="120">JI5+1</f>
        <v>46337</v>
      </c>
      <c r="JK5" s="86">
        <f t="shared" ref="JK5" si="121">JJ5+1</f>
        <v>46338</v>
      </c>
      <c r="JL5" s="86">
        <f t="shared" ref="JL5" si="122">JK5+1</f>
        <v>46339</v>
      </c>
      <c r="JM5" s="86">
        <f t="shared" ref="JM5" si="123">JL5+1</f>
        <v>46340</v>
      </c>
      <c r="JN5" s="87">
        <f t="shared" ref="JN5" si="124">JM5+1</f>
        <v>46341</v>
      </c>
      <c r="JO5" s="85">
        <f>JN5+1</f>
        <v>46342</v>
      </c>
      <c r="JP5" s="86">
        <f>JO5+1</f>
        <v>46343</v>
      </c>
      <c r="JQ5" s="86">
        <f t="shared" ref="JQ5" si="125">JP5+1</f>
        <v>46344</v>
      </c>
      <c r="JR5" s="86">
        <f t="shared" ref="JR5" si="126">JQ5+1</f>
        <v>46345</v>
      </c>
      <c r="JS5" s="86">
        <f t="shared" ref="JS5" si="127">JR5+1</f>
        <v>46346</v>
      </c>
      <c r="JT5" s="86">
        <f t="shared" ref="JT5" si="128">JS5+1</f>
        <v>46347</v>
      </c>
      <c r="JU5" s="87">
        <f t="shared" ref="JU5" si="129">JT5+1</f>
        <v>46348</v>
      </c>
      <c r="JV5" s="85">
        <f>JU5+1</f>
        <v>46349</v>
      </c>
      <c r="JW5" s="86">
        <f>JV5+1</f>
        <v>46350</v>
      </c>
      <c r="JX5" s="86">
        <f t="shared" ref="JX5" si="130">JW5+1</f>
        <v>46351</v>
      </c>
      <c r="JY5" s="86">
        <f t="shared" ref="JY5" si="131">JX5+1</f>
        <v>46352</v>
      </c>
      <c r="JZ5" s="86">
        <f t="shared" ref="JZ5" si="132">JY5+1</f>
        <v>46353</v>
      </c>
      <c r="KA5" s="86">
        <f t="shared" ref="KA5" si="133">JZ5+1</f>
        <v>46354</v>
      </c>
      <c r="KB5" s="87">
        <f t="shared" ref="KB5" si="134">KA5+1</f>
        <v>46355</v>
      </c>
      <c r="KC5" s="85">
        <f>KB5+1</f>
        <v>46356</v>
      </c>
      <c r="KD5" s="86">
        <f>KC5+1</f>
        <v>46357</v>
      </c>
      <c r="KE5" s="86">
        <f t="shared" ref="KE5" si="135">KD5+1</f>
        <v>46358</v>
      </c>
      <c r="KF5" s="86">
        <f t="shared" ref="KF5" si="136">KE5+1</f>
        <v>46359</v>
      </c>
      <c r="KG5" s="86">
        <f t="shared" ref="KG5" si="137">KF5+1</f>
        <v>46360</v>
      </c>
      <c r="KH5" s="86">
        <f t="shared" ref="KH5" si="138">KG5+1</f>
        <v>46361</v>
      </c>
      <c r="KI5" s="87">
        <f t="shared" ref="KI5" si="139">KH5+1</f>
        <v>46362</v>
      </c>
      <c r="KJ5" s="85">
        <f>KI5+1</f>
        <v>46363</v>
      </c>
      <c r="KK5" s="86">
        <f>KJ5+1</f>
        <v>46364</v>
      </c>
      <c r="KL5" s="86">
        <f t="shared" ref="KL5" si="140">KK5+1</f>
        <v>46365</v>
      </c>
      <c r="KM5" s="86">
        <f t="shared" ref="KM5" si="141">KL5+1</f>
        <v>46366</v>
      </c>
      <c r="KN5" s="86">
        <f t="shared" ref="KN5" si="142">KM5+1</f>
        <v>46367</v>
      </c>
      <c r="KO5" s="86">
        <f t="shared" ref="KO5" si="143">KN5+1</f>
        <v>46368</v>
      </c>
      <c r="KP5" s="87">
        <f t="shared" ref="KP5" si="144">KO5+1</f>
        <v>46369</v>
      </c>
      <c r="KQ5" s="85">
        <f>KP5+1</f>
        <v>46370</v>
      </c>
      <c r="KR5" s="86">
        <f>KQ5+1</f>
        <v>46371</v>
      </c>
      <c r="KS5" s="86">
        <f t="shared" ref="KS5" si="145">KR5+1</f>
        <v>46372</v>
      </c>
      <c r="KT5" s="86">
        <f t="shared" ref="KT5" si="146">KS5+1</f>
        <v>46373</v>
      </c>
      <c r="KU5" s="86">
        <f t="shared" ref="KU5" si="147">KT5+1</f>
        <v>46374</v>
      </c>
      <c r="KV5" s="86">
        <f t="shared" ref="KV5" si="148">KU5+1</f>
        <v>46375</v>
      </c>
      <c r="KW5" s="87">
        <f t="shared" ref="KW5" si="149">KV5+1</f>
        <v>46376</v>
      </c>
      <c r="KX5" s="85">
        <f>KW5+1</f>
        <v>46377</v>
      </c>
      <c r="KY5" s="86">
        <f>KX5+1</f>
        <v>46378</v>
      </c>
      <c r="KZ5" s="86">
        <f t="shared" ref="KZ5" si="150">KY5+1</f>
        <v>46379</v>
      </c>
      <c r="LA5" s="86">
        <f t="shared" ref="LA5" si="151">KZ5+1</f>
        <v>46380</v>
      </c>
      <c r="LB5" s="86">
        <f t="shared" ref="LB5" si="152">LA5+1</f>
        <v>46381</v>
      </c>
      <c r="LC5" s="86">
        <f t="shared" ref="LC5" si="153">LB5+1</f>
        <v>46382</v>
      </c>
      <c r="LD5" s="87">
        <f t="shared" ref="LD5" si="154">LC5+1</f>
        <v>46383</v>
      </c>
      <c r="LE5" s="85">
        <f>LD5+1</f>
        <v>46384</v>
      </c>
      <c r="LF5" s="86">
        <f>LE5+1</f>
        <v>46385</v>
      </c>
      <c r="LG5" s="86">
        <f t="shared" ref="LG5" si="155">LF5+1</f>
        <v>46386</v>
      </c>
      <c r="LH5" s="86">
        <f t="shared" ref="LH5" si="156">LG5+1</f>
        <v>46387</v>
      </c>
      <c r="LI5" s="86">
        <f t="shared" ref="LI5" si="157">LH5+1</f>
        <v>46388</v>
      </c>
      <c r="LJ5" s="86">
        <f t="shared" ref="LJ5" si="158">LI5+1</f>
        <v>46389</v>
      </c>
      <c r="LK5" s="87">
        <f t="shared" ref="LK5" si="159">LJ5+1</f>
        <v>46390</v>
      </c>
    </row>
    <row r="6" spans="1:323" ht="30" customHeight="1" thickBot="1" x14ac:dyDescent="0.35">
      <c r="A6" s="46" t="s">
        <v>5</v>
      </c>
      <c r="B6" s="8" t="s">
        <v>14</v>
      </c>
      <c r="C6" s="9" t="s">
        <v>18</v>
      </c>
      <c r="D6" s="9" t="s">
        <v>19</v>
      </c>
      <c r="E6" s="9" t="s">
        <v>20</v>
      </c>
      <c r="F6" s="9" t="s">
        <v>21</v>
      </c>
      <c r="G6" s="9"/>
      <c r="H6" s="9" t="s">
        <v>22</v>
      </c>
      <c r="I6" s="10" t="str">
        <f t="shared" ref="I6:BT6" si="160">LEFT(TEXT(I5,"ddd"),1)</f>
        <v>s</v>
      </c>
      <c r="J6" s="10" t="str">
        <f t="shared" si="160"/>
        <v>t</v>
      </c>
      <c r="K6" s="10" t="str">
        <f t="shared" si="160"/>
        <v>q</v>
      </c>
      <c r="L6" s="10" t="str">
        <f t="shared" si="160"/>
        <v>q</v>
      </c>
      <c r="M6" s="10" t="str">
        <f t="shared" si="160"/>
        <v>s</v>
      </c>
      <c r="N6" s="10" t="str">
        <f t="shared" si="160"/>
        <v>s</v>
      </c>
      <c r="O6" s="10" t="str">
        <f t="shared" si="160"/>
        <v>d</v>
      </c>
      <c r="P6" s="10" t="str">
        <f t="shared" si="160"/>
        <v>s</v>
      </c>
      <c r="Q6" s="10" t="str">
        <f t="shared" si="160"/>
        <v>t</v>
      </c>
      <c r="R6" s="10" t="str">
        <f t="shared" si="160"/>
        <v>q</v>
      </c>
      <c r="S6" s="10" t="str">
        <f t="shared" si="160"/>
        <v>q</v>
      </c>
      <c r="T6" s="10" t="str">
        <f t="shared" si="160"/>
        <v>s</v>
      </c>
      <c r="U6" s="10" t="str">
        <f t="shared" si="160"/>
        <v>s</v>
      </c>
      <c r="V6" s="10" t="str">
        <f t="shared" si="160"/>
        <v>d</v>
      </c>
      <c r="W6" s="10" t="str">
        <f t="shared" si="160"/>
        <v>s</v>
      </c>
      <c r="X6" s="10" t="str">
        <f t="shared" si="160"/>
        <v>t</v>
      </c>
      <c r="Y6" s="10" t="str">
        <f t="shared" si="160"/>
        <v>q</v>
      </c>
      <c r="Z6" s="10" t="str">
        <f t="shared" si="160"/>
        <v>q</v>
      </c>
      <c r="AA6" s="10" t="str">
        <f t="shared" si="160"/>
        <v>s</v>
      </c>
      <c r="AB6" s="10" t="str">
        <f t="shared" si="160"/>
        <v>s</v>
      </c>
      <c r="AC6" s="10" t="str">
        <f t="shared" si="160"/>
        <v>d</v>
      </c>
      <c r="AD6" s="10" t="str">
        <f t="shared" si="160"/>
        <v>s</v>
      </c>
      <c r="AE6" s="10" t="str">
        <f t="shared" si="160"/>
        <v>t</v>
      </c>
      <c r="AF6" s="10" t="str">
        <f t="shared" si="160"/>
        <v>q</v>
      </c>
      <c r="AG6" s="10" t="str">
        <f t="shared" si="160"/>
        <v>q</v>
      </c>
      <c r="AH6" s="10" t="str">
        <f t="shared" si="160"/>
        <v>s</v>
      </c>
      <c r="AI6" s="10" t="str">
        <f t="shared" si="160"/>
        <v>s</v>
      </c>
      <c r="AJ6" s="10" t="str">
        <f t="shared" si="160"/>
        <v>d</v>
      </c>
      <c r="AK6" s="10" t="str">
        <f t="shared" si="160"/>
        <v>s</v>
      </c>
      <c r="AL6" s="10" t="str">
        <f t="shared" si="160"/>
        <v>t</v>
      </c>
      <c r="AM6" s="10" t="str">
        <f t="shared" si="160"/>
        <v>q</v>
      </c>
      <c r="AN6" s="10" t="str">
        <f t="shared" si="160"/>
        <v>q</v>
      </c>
      <c r="AO6" s="10" t="str">
        <f t="shared" si="160"/>
        <v>s</v>
      </c>
      <c r="AP6" s="10" t="str">
        <f t="shared" si="160"/>
        <v>s</v>
      </c>
      <c r="AQ6" s="10" t="str">
        <f t="shared" si="160"/>
        <v>d</v>
      </c>
      <c r="AR6" s="10" t="str">
        <f t="shared" si="160"/>
        <v>s</v>
      </c>
      <c r="AS6" s="10" t="str">
        <f t="shared" si="160"/>
        <v>t</v>
      </c>
      <c r="AT6" s="10" t="str">
        <f t="shared" si="160"/>
        <v>q</v>
      </c>
      <c r="AU6" s="10" t="str">
        <f t="shared" si="160"/>
        <v>q</v>
      </c>
      <c r="AV6" s="10" t="str">
        <f t="shared" si="160"/>
        <v>s</v>
      </c>
      <c r="AW6" s="10" t="str">
        <f t="shared" si="160"/>
        <v>s</v>
      </c>
      <c r="AX6" s="10" t="str">
        <f t="shared" si="160"/>
        <v>d</v>
      </c>
      <c r="AY6" s="10" t="str">
        <f t="shared" si="160"/>
        <v>s</v>
      </c>
      <c r="AZ6" s="10" t="str">
        <f t="shared" si="160"/>
        <v>t</v>
      </c>
      <c r="BA6" s="10" t="str">
        <f t="shared" si="160"/>
        <v>q</v>
      </c>
      <c r="BB6" s="10" t="str">
        <f t="shared" si="160"/>
        <v>q</v>
      </c>
      <c r="BC6" s="10" t="str">
        <f t="shared" si="160"/>
        <v>s</v>
      </c>
      <c r="BD6" s="10" t="str">
        <f t="shared" si="160"/>
        <v>s</v>
      </c>
      <c r="BE6" s="10" t="str">
        <f t="shared" si="160"/>
        <v>d</v>
      </c>
      <c r="BF6" s="10" t="str">
        <f t="shared" si="160"/>
        <v>s</v>
      </c>
      <c r="BG6" s="10" t="str">
        <f t="shared" si="160"/>
        <v>t</v>
      </c>
      <c r="BH6" s="10" t="str">
        <f t="shared" si="160"/>
        <v>q</v>
      </c>
      <c r="BI6" s="10" t="str">
        <f t="shared" si="160"/>
        <v>q</v>
      </c>
      <c r="BJ6" s="10" t="str">
        <f t="shared" si="160"/>
        <v>s</v>
      </c>
      <c r="BK6" s="10" t="str">
        <f t="shared" si="160"/>
        <v>s</v>
      </c>
      <c r="BL6" s="10" t="str">
        <f t="shared" si="160"/>
        <v>d</v>
      </c>
      <c r="BM6" s="10" t="str">
        <f t="shared" si="160"/>
        <v>s</v>
      </c>
      <c r="BN6" s="10" t="str">
        <f t="shared" si="160"/>
        <v>t</v>
      </c>
      <c r="BO6" s="10" t="str">
        <f t="shared" si="160"/>
        <v>q</v>
      </c>
      <c r="BP6" s="10" t="str">
        <f t="shared" si="160"/>
        <v>q</v>
      </c>
      <c r="BQ6" s="10" t="str">
        <f t="shared" si="160"/>
        <v>s</v>
      </c>
      <c r="BR6" s="10" t="str">
        <f t="shared" si="160"/>
        <v>s</v>
      </c>
      <c r="BS6" s="10" t="str">
        <f t="shared" si="160"/>
        <v>d</v>
      </c>
      <c r="BT6" s="10" t="str">
        <f t="shared" si="160"/>
        <v>s</v>
      </c>
      <c r="BU6" s="10" t="str">
        <f t="shared" ref="BU6:DI6" si="161">LEFT(TEXT(BU5,"ddd"),1)</f>
        <v>t</v>
      </c>
      <c r="BV6" s="10" t="str">
        <f t="shared" si="161"/>
        <v>q</v>
      </c>
      <c r="BW6" s="10" t="str">
        <f t="shared" si="161"/>
        <v>q</v>
      </c>
      <c r="BX6" s="10" t="str">
        <f t="shared" si="161"/>
        <v>s</v>
      </c>
      <c r="BY6" s="10" t="str">
        <f t="shared" si="161"/>
        <v>s</v>
      </c>
      <c r="BZ6" s="10" t="str">
        <f t="shared" si="161"/>
        <v>d</v>
      </c>
      <c r="CA6" s="10" t="str">
        <f t="shared" si="161"/>
        <v>s</v>
      </c>
      <c r="CB6" s="10" t="str">
        <f t="shared" si="161"/>
        <v>t</v>
      </c>
      <c r="CC6" s="10" t="str">
        <f t="shared" si="161"/>
        <v>q</v>
      </c>
      <c r="CD6" s="10" t="str">
        <f t="shared" si="161"/>
        <v>q</v>
      </c>
      <c r="CE6" s="10" t="str">
        <f t="shared" si="161"/>
        <v>s</v>
      </c>
      <c r="CF6" s="10" t="str">
        <f t="shared" si="161"/>
        <v>s</v>
      </c>
      <c r="CG6" s="10" t="str">
        <f t="shared" si="161"/>
        <v>d</v>
      </c>
      <c r="CH6" s="10" t="str">
        <f t="shared" si="161"/>
        <v>s</v>
      </c>
      <c r="CI6" s="10" t="str">
        <f t="shared" si="161"/>
        <v>t</v>
      </c>
      <c r="CJ6" s="10" t="str">
        <f t="shared" si="161"/>
        <v>q</v>
      </c>
      <c r="CK6" s="10" t="str">
        <f t="shared" si="161"/>
        <v>q</v>
      </c>
      <c r="CL6" s="10" t="str">
        <f t="shared" si="161"/>
        <v>s</v>
      </c>
      <c r="CM6" s="10" t="str">
        <f t="shared" si="161"/>
        <v>s</v>
      </c>
      <c r="CN6" s="10" t="str">
        <f t="shared" si="161"/>
        <v>d</v>
      </c>
      <c r="CO6" s="10" t="str">
        <f t="shared" si="161"/>
        <v>s</v>
      </c>
      <c r="CP6" s="10" t="str">
        <f t="shared" si="161"/>
        <v>t</v>
      </c>
      <c r="CQ6" s="10" t="str">
        <f t="shared" si="161"/>
        <v>q</v>
      </c>
      <c r="CR6" s="10" t="str">
        <f t="shared" si="161"/>
        <v>q</v>
      </c>
      <c r="CS6" s="10" t="str">
        <f t="shared" si="161"/>
        <v>s</v>
      </c>
      <c r="CT6" s="10" t="str">
        <f t="shared" si="161"/>
        <v>s</v>
      </c>
      <c r="CU6" s="10" t="str">
        <f t="shared" si="161"/>
        <v>d</v>
      </c>
      <c r="CV6" s="10" t="str">
        <f t="shared" si="161"/>
        <v>s</v>
      </c>
      <c r="CW6" s="10" t="str">
        <f t="shared" si="161"/>
        <v>t</v>
      </c>
      <c r="CX6" s="10" t="str">
        <f t="shared" si="161"/>
        <v>q</v>
      </c>
      <c r="CY6" s="10" t="str">
        <f t="shared" si="161"/>
        <v>q</v>
      </c>
      <c r="CZ6" s="10" t="str">
        <f t="shared" si="161"/>
        <v>s</v>
      </c>
      <c r="DA6" s="10" t="str">
        <f t="shared" si="161"/>
        <v>s</v>
      </c>
      <c r="DB6" s="10" t="str">
        <f t="shared" si="161"/>
        <v>d</v>
      </c>
      <c r="DC6" s="10" t="str">
        <f t="shared" si="161"/>
        <v>s</v>
      </c>
      <c r="DD6" s="10" t="str">
        <f t="shared" si="161"/>
        <v>t</v>
      </c>
      <c r="DE6" s="10" t="str">
        <f t="shared" si="161"/>
        <v>q</v>
      </c>
      <c r="DF6" s="10" t="str">
        <f t="shared" si="161"/>
        <v>q</v>
      </c>
      <c r="DG6" s="10" t="str">
        <f t="shared" si="161"/>
        <v>s</v>
      </c>
      <c r="DH6" s="10" t="str">
        <f t="shared" si="161"/>
        <v>s</v>
      </c>
      <c r="DI6" s="10" t="str">
        <f t="shared" si="161"/>
        <v>d</v>
      </c>
      <c r="DJ6" s="10" t="str">
        <f t="shared" ref="DJ6:FU6" si="162">LEFT(TEXT(DJ5,"ddd"),1)</f>
        <v>s</v>
      </c>
      <c r="DK6" s="10" t="str">
        <f t="shared" si="162"/>
        <v>t</v>
      </c>
      <c r="DL6" s="10" t="str">
        <f t="shared" si="162"/>
        <v>q</v>
      </c>
      <c r="DM6" s="10" t="str">
        <f t="shared" si="162"/>
        <v>q</v>
      </c>
      <c r="DN6" s="10" t="str">
        <f t="shared" si="162"/>
        <v>s</v>
      </c>
      <c r="DO6" s="10" t="str">
        <f t="shared" si="162"/>
        <v>s</v>
      </c>
      <c r="DP6" s="10" t="str">
        <f t="shared" si="162"/>
        <v>d</v>
      </c>
      <c r="DQ6" s="10" t="str">
        <f t="shared" si="162"/>
        <v>s</v>
      </c>
      <c r="DR6" s="10" t="str">
        <f t="shared" si="162"/>
        <v>t</v>
      </c>
      <c r="DS6" s="10" t="str">
        <f t="shared" si="162"/>
        <v>q</v>
      </c>
      <c r="DT6" s="10" t="str">
        <f t="shared" si="162"/>
        <v>q</v>
      </c>
      <c r="DU6" s="10" t="str">
        <f t="shared" si="162"/>
        <v>s</v>
      </c>
      <c r="DV6" s="10" t="str">
        <f t="shared" si="162"/>
        <v>s</v>
      </c>
      <c r="DW6" s="10" t="str">
        <f t="shared" si="162"/>
        <v>d</v>
      </c>
      <c r="DX6" s="10" t="str">
        <f t="shared" si="162"/>
        <v>s</v>
      </c>
      <c r="DY6" s="10" t="str">
        <f t="shared" si="162"/>
        <v>t</v>
      </c>
      <c r="DZ6" s="10" t="str">
        <f t="shared" si="162"/>
        <v>q</v>
      </c>
      <c r="EA6" s="10" t="str">
        <f t="shared" si="162"/>
        <v>q</v>
      </c>
      <c r="EB6" s="10" t="str">
        <f t="shared" si="162"/>
        <v>s</v>
      </c>
      <c r="EC6" s="10" t="str">
        <f t="shared" si="162"/>
        <v>s</v>
      </c>
      <c r="ED6" s="10" t="str">
        <f t="shared" si="162"/>
        <v>d</v>
      </c>
      <c r="EE6" s="10" t="str">
        <f t="shared" si="162"/>
        <v>s</v>
      </c>
      <c r="EF6" s="10" t="str">
        <f t="shared" si="162"/>
        <v>t</v>
      </c>
      <c r="EG6" s="10" t="str">
        <f t="shared" si="162"/>
        <v>q</v>
      </c>
      <c r="EH6" s="10" t="str">
        <f t="shared" si="162"/>
        <v>q</v>
      </c>
      <c r="EI6" s="10" t="str">
        <f t="shared" si="162"/>
        <v>s</v>
      </c>
      <c r="EJ6" s="10" t="str">
        <f t="shared" si="162"/>
        <v>s</v>
      </c>
      <c r="EK6" s="10" t="str">
        <f t="shared" si="162"/>
        <v>d</v>
      </c>
      <c r="EL6" s="10" t="str">
        <f t="shared" si="162"/>
        <v>s</v>
      </c>
      <c r="EM6" s="10" t="str">
        <f t="shared" si="162"/>
        <v>t</v>
      </c>
      <c r="EN6" s="10" t="str">
        <f t="shared" si="162"/>
        <v>q</v>
      </c>
      <c r="EO6" s="10" t="str">
        <f t="shared" si="162"/>
        <v>q</v>
      </c>
      <c r="EP6" s="10" t="str">
        <f t="shared" si="162"/>
        <v>s</v>
      </c>
      <c r="EQ6" s="10" t="str">
        <f t="shared" si="162"/>
        <v>s</v>
      </c>
      <c r="ER6" s="10" t="str">
        <f t="shared" si="162"/>
        <v>d</v>
      </c>
      <c r="ES6" s="10" t="str">
        <f t="shared" si="162"/>
        <v>s</v>
      </c>
      <c r="ET6" s="10" t="str">
        <f t="shared" si="162"/>
        <v>t</v>
      </c>
      <c r="EU6" s="10" t="str">
        <f t="shared" si="162"/>
        <v>q</v>
      </c>
      <c r="EV6" s="10" t="str">
        <f t="shared" si="162"/>
        <v>q</v>
      </c>
      <c r="EW6" s="10" t="str">
        <f t="shared" si="162"/>
        <v>s</v>
      </c>
      <c r="EX6" s="10" t="str">
        <f t="shared" si="162"/>
        <v>s</v>
      </c>
      <c r="EY6" s="10" t="str">
        <f t="shared" si="162"/>
        <v>d</v>
      </c>
      <c r="EZ6" s="10" t="str">
        <f t="shared" si="162"/>
        <v>s</v>
      </c>
      <c r="FA6" s="10" t="str">
        <f t="shared" si="162"/>
        <v>t</v>
      </c>
      <c r="FB6" s="10" t="str">
        <f t="shared" si="162"/>
        <v>q</v>
      </c>
      <c r="FC6" s="10" t="str">
        <f t="shared" si="162"/>
        <v>q</v>
      </c>
      <c r="FD6" s="10" t="str">
        <f t="shared" si="162"/>
        <v>s</v>
      </c>
      <c r="FE6" s="10" t="str">
        <f t="shared" si="162"/>
        <v>s</v>
      </c>
      <c r="FF6" s="10" t="str">
        <f t="shared" si="162"/>
        <v>d</v>
      </c>
      <c r="FG6" s="10" t="str">
        <f t="shared" si="162"/>
        <v>s</v>
      </c>
      <c r="FH6" s="10" t="str">
        <f t="shared" si="162"/>
        <v>t</v>
      </c>
      <c r="FI6" s="10" t="str">
        <f t="shared" si="162"/>
        <v>q</v>
      </c>
      <c r="FJ6" s="10" t="str">
        <f t="shared" si="162"/>
        <v>q</v>
      </c>
      <c r="FK6" s="10" t="str">
        <f t="shared" si="162"/>
        <v>s</v>
      </c>
      <c r="FL6" s="10" t="str">
        <f t="shared" si="162"/>
        <v>s</v>
      </c>
      <c r="FM6" s="10" t="str">
        <f t="shared" si="162"/>
        <v>d</v>
      </c>
      <c r="FN6" s="10" t="str">
        <f t="shared" si="162"/>
        <v>s</v>
      </c>
      <c r="FO6" s="10" t="str">
        <f t="shared" si="162"/>
        <v>t</v>
      </c>
      <c r="FP6" s="10" t="str">
        <f t="shared" si="162"/>
        <v>q</v>
      </c>
      <c r="FQ6" s="10" t="str">
        <f t="shared" si="162"/>
        <v>q</v>
      </c>
      <c r="FR6" s="10" t="str">
        <f t="shared" si="162"/>
        <v>s</v>
      </c>
      <c r="FS6" s="10" t="str">
        <f t="shared" si="162"/>
        <v>s</v>
      </c>
      <c r="FT6" s="10" t="str">
        <f t="shared" si="162"/>
        <v>d</v>
      </c>
      <c r="FU6" s="10" t="str">
        <f t="shared" si="162"/>
        <v>s</v>
      </c>
      <c r="FV6" s="10" t="str">
        <f t="shared" ref="FV6:IG6" si="163">LEFT(TEXT(FV5,"ddd"),1)</f>
        <v>t</v>
      </c>
      <c r="FW6" s="10" t="str">
        <f t="shared" si="163"/>
        <v>q</v>
      </c>
      <c r="FX6" s="10" t="str">
        <f t="shared" si="163"/>
        <v>q</v>
      </c>
      <c r="FY6" s="10" t="str">
        <f t="shared" si="163"/>
        <v>s</v>
      </c>
      <c r="FZ6" s="10" t="str">
        <f t="shared" si="163"/>
        <v>s</v>
      </c>
      <c r="GA6" s="10" t="str">
        <f t="shared" si="163"/>
        <v>d</v>
      </c>
      <c r="GB6" s="10" t="str">
        <f t="shared" si="163"/>
        <v>s</v>
      </c>
      <c r="GC6" s="10" t="str">
        <f t="shared" si="163"/>
        <v>t</v>
      </c>
      <c r="GD6" s="10" t="str">
        <f t="shared" si="163"/>
        <v>q</v>
      </c>
      <c r="GE6" s="10" t="str">
        <f t="shared" si="163"/>
        <v>q</v>
      </c>
      <c r="GF6" s="10" t="str">
        <f t="shared" si="163"/>
        <v>s</v>
      </c>
      <c r="GG6" s="10" t="str">
        <f t="shared" si="163"/>
        <v>s</v>
      </c>
      <c r="GH6" s="10" t="str">
        <f t="shared" si="163"/>
        <v>d</v>
      </c>
      <c r="GI6" s="10" t="str">
        <f t="shared" si="163"/>
        <v>s</v>
      </c>
      <c r="GJ6" s="10" t="str">
        <f t="shared" si="163"/>
        <v>t</v>
      </c>
      <c r="GK6" s="10" t="str">
        <f t="shared" si="163"/>
        <v>q</v>
      </c>
      <c r="GL6" s="10" t="str">
        <f t="shared" si="163"/>
        <v>q</v>
      </c>
      <c r="GM6" s="10" t="str">
        <f t="shared" si="163"/>
        <v>s</v>
      </c>
      <c r="GN6" s="10" t="str">
        <f t="shared" si="163"/>
        <v>s</v>
      </c>
      <c r="GO6" s="10" t="str">
        <f t="shared" si="163"/>
        <v>d</v>
      </c>
      <c r="GP6" s="10" t="str">
        <f t="shared" si="163"/>
        <v>s</v>
      </c>
      <c r="GQ6" s="10" t="str">
        <f t="shared" si="163"/>
        <v>t</v>
      </c>
      <c r="GR6" s="10" t="str">
        <f t="shared" si="163"/>
        <v>q</v>
      </c>
      <c r="GS6" s="10" t="str">
        <f t="shared" si="163"/>
        <v>q</v>
      </c>
      <c r="GT6" s="10" t="str">
        <f t="shared" si="163"/>
        <v>s</v>
      </c>
      <c r="GU6" s="10" t="str">
        <f t="shared" si="163"/>
        <v>s</v>
      </c>
      <c r="GV6" s="10" t="str">
        <f t="shared" si="163"/>
        <v>d</v>
      </c>
      <c r="GW6" s="10" t="str">
        <f t="shared" si="163"/>
        <v>s</v>
      </c>
      <c r="GX6" s="10" t="str">
        <f t="shared" si="163"/>
        <v>t</v>
      </c>
      <c r="GY6" s="10" t="str">
        <f t="shared" si="163"/>
        <v>q</v>
      </c>
      <c r="GZ6" s="10" t="str">
        <f t="shared" si="163"/>
        <v>q</v>
      </c>
      <c r="HA6" s="10" t="str">
        <f t="shared" si="163"/>
        <v>s</v>
      </c>
      <c r="HB6" s="10" t="str">
        <f t="shared" si="163"/>
        <v>s</v>
      </c>
      <c r="HC6" s="10" t="str">
        <f t="shared" si="163"/>
        <v>d</v>
      </c>
      <c r="HD6" s="10" t="str">
        <f t="shared" si="163"/>
        <v>s</v>
      </c>
      <c r="HE6" s="10" t="str">
        <f t="shared" si="163"/>
        <v>t</v>
      </c>
      <c r="HF6" s="10" t="str">
        <f t="shared" si="163"/>
        <v>q</v>
      </c>
      <c r="HG6" s="10" t="str">
        <f t="shared" si="163"/>
        <v>q</v>
      </c>
      <c r="HH6" s="10" t="str">
        <f t="shared" si="163"/>
        <v>s</v>
      </c>
      <c r="HI6" s="10" t="str">
        <f t="shared" si="163"/>
        <v>s</v>
      </c>
      <c r="HJ6" s="10" t="str">
        <f t="shared" si="163"/>
        <v>d</v>
      </c>
      <c r="HK6" s="10" t="str">
        <f t="shared" si="163"/>
        <v>s</v>
      </c>
      <c r="HL6" s="10" t="str">
        <f t="shared" si="163"/>
        <v>t</v>
      </c>
      <c r="HM6" s="10" t="str">
        <f t="shared" si="163"/>
        <v>q</v>
      </c>
      <c r="HN6" s="10" t="str">
        <f t="shared" si="163"/>
        <v>q</v>
      </c>
      <c r="HO6" s="10" t="str">
        <f t="shared" si="163"/>
        <v>s</v>
      </c>
      <c r="HP6" s="10" t="str">
        <f t="shared" si="163"/>
        <v>s</v>
      </c>
      <c r="HQ6" s="10" t="str">
        <f t="shared" si="163"/>
        <v>d</v>
      </c>
      <c r="HR6" s="10" t="str">
        <f t="shared" si="163"/>
        <v>s</v>
      </c>
      <c r="HS6" s="10" t="str">
        <f t="shared" si="163"/>
        <v>t</v>
      </c>
      <c r="HT6" s="10" t="str">
        <f t="shared" si="163"/>
        <v>q</v>
      </c>
      <c r="HU6" s="10" t="str">
        <f t="shared" si="163"/>
        <v>q</v>
      </c>
      <c r="HV6" s="10" t="str">
        <f t="shared" si="163"/>
        <v>s</v>
      </c>
      <c r="HW6" s="10" t="str">
        <f t="shared" si="163"/>
        <v>s</v>
      </c>
      <c r="HX6" s="10" t="str">
        <f t="shared" si="163"/>
        <v>d</v>
      </c>
      <c r="HY6" s="10" t="str">
        <f t="shared" si="163"/>
        <v>s</v>
      </c>
      <c r="HZ6" s="10" t="str">
        <f t="shared" si="163"/>
        <v>t</v>
      </c>
      <c r="IA6" s="10" t="str">
        <f t="shared" si="163"/>
        <v>q</v>
      </c>
      <c r="IB6" s="10" t="str">
        <f t="shared" si="163"/>
        <v>q</v>
      </c>
      <c r="IC6" s="10" t="str">
        <f t="shared" si="163"/>
        <v>s</v>
      </c>
      <c r="ID6" s="10" t="str">
        <f t="shared" si="163"/>
        <v>s</v>
      </c>
      <c r="IE6" s="10" t="str">
        <f t="shared" si="163"/>
        <v>d</v>
      </c>
      <c r="IF6" s="10" t="str">
        <f t="shared" si="163"/>
        <v>s</v>
      </c>
      <c r="IG6" s="10" t="str">
        <f t="shared" si="163"/>
        <v>t</v>
      </c>
      <c r="IH6" s="10" t="str">
        <f t="shared" ref="IH6:KS6" si="164">LEFT(TEXT(IH5,"ddd"),1)</f>
        <v>q</v>
      </c>
      <c r="II6" s="10" t="str">
        <f t="shared" si="164"/>
        <v>q</v>
      </c>
      <c r="IJ6" s="10" t="str">
        <f t="shared" si="164"/>
        <v>s</v>
      </c>
      <c r="IK6" s="10" t="str">
        <f t="shared" si="164"/>
        <v>s</v>
      </c>
      <c r="IL6" s="10" t="str">
        <f t="shared" si="164"/>
        <v>d</v>
      </c>
      <c r="IM6" s="10" t="str">
        <f t="shared" si="164"/>
        <v>s</v>
      </c>
      <c r="IN6" s="10" t="str">
        <f t="shared" si="164"/>
        <v>t</v>
      </c>
      <c r="IO6" s="10" t="str">
        <f t="shared" si="164"/>
        <v>q</v>
      </c>
      <c r="IP6" s="10" t="str">
        <f t="shared" si="164"/>
        <v>q</v>
      </c>
      <c r="IQ6" s="10" t="str">
        <f t="shared" si="164"/>
        <v>s</v>
      </c>
      <c r="IR6" s="10" t="str">
        <f t="shared" si="164"/>
        <v>s</v>
      </c>
      <c r="IS6" s="10" t="str">
        <f t="shared" si="164"/>
        <v>d</v>
      </c>
      <c r="IT6" s="10" t="str">
        <f t="shared" si="164"/>
        <v>s</v>
      </c>
      <c r="IU6" s="10" t="str">
        <f t="shared" si="164"/>
        <v>t</v>
      </c>
      <c r="IV6" s="10" t="str">
        <f t="shared" si="164"/>
        <v>q</v>
      </c>
      <c r="IW6" s="10" t="str">
        <f t="shared" si="164"/>
        <v>q</v>
      </c>
      <c r="IX6" s="10" t="str">
        <f t="shared" si="164"/>
        <v>s</v>
      </c>
      <c r="IY6" s="10" t="str">
        <f t="shared" si="164"/>
        <v>s</v>
      </c>
      <c r="IZ6" s="10" t="str">
        <f t="shared" si="164"/>
        <v>d</v>
      </c>
      <c r="JA6" s="10" t="str">
        <f t="shared" si="164"/>
        <v>s</v>
      </c>
      <c r="JB6" s="10" t="str">
        <f t="shared" si="164"/>
        <v>t</v>
      </c>
      <c r="JC6" s="10" t="str">
        <f t="shared" si="164"/>
        <v>q</v>
      </c>
      <c r="JD6" s="10" t="str">
        <f t="shared" si="164"/>
        <v>q</v>
      </c>
      <c r="JE6" s="10" t="str">
        <f t="shared" si="164"/>
        <v>s</v>
      </c>
      <c r="JF6" s="10" t="str">
        <f t="shared" si="164"/>
        <v>s</v>
      </c>
      <c r="JG6" s="10" t="str">
        <f t="shared" si="164"/>
        <v>d</v>
      </c>
      <c r="JH6" s="10" t="str">
        <f t="shared" si="164"/>
        <v>s</v>
      </c>
      <c r="JI6" s="10" t="str">
        <f t="shared" si="164"/>
        <v>t</v>
      </c>
      <c r="JJ6" s="10" t="str">
        <f t="shared" si="164"/>
        <v>q</v>
      </c>
      <c r="JK6" s="10" t="str">
        <f t="shared" si="164"/>
        <v>q</v>
      </c>
      <c r="JL6" s="10" t="str">
        <f t="shared" si="164"/>
        <v>s</v>
      </c>
      <c r="JM6" s="10" t="str">
        <f t="shared" si="164"/>
        <v>s</v>
      </c>
      <c r="JN6" s="10" t="str">
        <f t="shared" si="164"/>
        <v>d</v>
      </c>
      <c r="JO6" s="10" t="str">
        <f t="shared" si="164"/>
        <v>s</v>
      </c>
      <c r="JP6" s="10" t="str">
        <f t="shared" si="164"/>
        <v>t</v>
      </c>
      <c r="JQ6" s="10" t="str">
        <f t="shared" si="164"/>
        <v>q</v>
      </c>
      <c r="JR6" s="10" t="str">
        <f t="shared" si="164"/>
        <v>q</v>
      </c>
      <c r="JS6" s="10" t="str">
        <f t="shared" si="164"/>
        <v>s</v>
      </c>
      <c r="JT6" s="10" t="str">
        <f t="shared" si="164"/>
        <v>s</v>
      </c>
      <c r="JU6" s="10" t="str">
        <f t="shared" si="164"/>
        <v>d</v>
      </c>
      <c r="JV6" s="10" t="str">
        <f t="shared" si="164"/>
        <v>s</v>
      </c>
      <c r="JW6" s="10" t="str">
        <f t="shared" si="164"/>
        <v>t</v>
      </c>
      <c r="JX6" s="10" t="str">
        <f t="shared" si="164"/>
        <v>q</v>
      </c>
      <c r="JY6" s="10" t="str">
        <f t="shared" si="164"/>
        <v>q</v>
      </c>
      <c r="JZ6" s="10" t="str">
        <f t="shared" si="164"/>
        <v>s</v>
      </c>
      <c r="KA6" s="10" t="str">
        <f t="shared" si="164"/>
        <v>s</v>
      </c>
      <c r="KB6" s="10" t="str">
        <f t="shared" si="164"/>
        <v>d</v>
      </c>
      <c r="KC6" s="10" t="str">
        <f t="shared" si="164"/>
        <v>s</v>
      </c>
      <c r="KD6" s="10" t="str">
        <f t="shared" si="164"/>
        <v>t</v>
      </c>
      <c r="KE6" s="10" t="str">
        <f t="shared" si="164"/>
        <v>q</v>
      </c>
      <c r="KF6" s="10" t="str">
        <f t="shared" si="164"/>
        <v>q</v>
      </c>
      <c r="KG6" s="10" t="str">
        <f t="shared" si="164"/>
        <v>s</v>
      </c>
      <c r="KH6" s="10" t="str">
        <f t="shared" si="164"/>
        <v>s</v>
      </c>
      <c r="KI6" s="10" t="str">
        <f t="shared" si="164"/>
        <v>d</v>
      </c>
      <c r="KJ6" s="10" t="str">
        <f t="shared" si="164"/>
        <v>s</v>
      </c>
      <c r="KK6" s="10" t="str">
        <f t="shared" si="164"/>
        <v>t</v>
      </c>
      <c r="KL6" s="10" t="str">
        <f t="shared" si="164"/>
        <v>q</v>
      </c>
      <c r="KM6" s="10" t="str">
        <f t="shared" si="164"/>
        <v>q</v>
      </c>
      <c r="KN6" s="10" t="str">
        <f t="shared" si="164"/>
        <v>s</v>
      </c>
      <c r="KO6" s="10" t="str">
        <f t="shared" si="164"/>
        <v>s</v>
      </c>
      <c r="KP6" s="10" t="str">
        <f t="shared" si="164"/>
        <v>d</v>
      </c>
      <c r="KQ6" s="10" t="str">
        <f t="shared" si="164"/>
        <v>s</v>
      </c>
      <c r="KR6" s="10" t="str">
        <f t="shared" si="164"/>
        <v>t</v>
      </c>
      <c r="KS6" s="10" t="str">
        <f t="shared" si="164"/>
        <v>q</v>
      </c>
      <c r="KT6" s="10" t="str">
        <f t="shared" ref="KT6:LK6" si="165">LEFT(TEXT(KT5,"ddd"),1)</f>
        <v>q</v>
      </c>
      <c r="KU6" s="10" t="str">
        <f t="shared" si="165"/>
        <v>s</v>
      </c>
      <c r="KV6" s="10" t="str">
        <f t="shared" si="165"/>
        <v>s</v>
      </c>
      <c r="KW6" s="10" t="str">
        <f t="shared" si="165"/>
        <v>d</v>
      </c>
      <c r="KX6" s="10" t="str">
        <f t="shared" si="165"/>
        <v>s</v>
      </c>
      <c r="KY6" s="10" t="str">
        <f t="shared" si="165"/>
        <v>t</v>
      </c>
      <c r="KZ6" s="10" t="str">
        <f t="shared" si="165"/>
        <v>q</v>
      </c>
      <c r="LA6" s="10" t="str">
        <f t="shared" si="165"/>
        <v>q</v>
      </c>
      <c r="LB6" s="10" t="str">
        <f t="shared" si="165"/>
        <v>s</v>
      </c>
      <c r="LC6" s="10" t="str">
        <f t="shared" si="165"/>
        <v>s</v>
      </c>
      <c r="LD6" s="10" t="str">
        <f t="shared" si="165"/>
        <v>d</v>
      </c>
      <c r="LE6" s="10" t="str">
        <f t="shared" si="165"/>
        <v>s</v>
      </c>
      <c r="LF6" s="10" t="str">
        <f t="shared" si="165"/>
        <v>t</v>
      </c>
      <c r="LG6" s="10" t="str">
        <f t="shared" si="165"/>
        <v>q</v>
      </c>
      <c r="LH6" s="10" t="str">
        <f t="shared" si="165"/>
        <v>q</v>
      </c>
      <c r="LI6" s="10" t="str">
        <f t="shared" si="165"/>
        <v>s</v>
      </c>
      <c r="LJ6" s="10" t="str">
        <f t="shared" si="165"/>
        <v>s</v>
      </c>
      <c r="LK6" s="10" t="str">
        <f t="shared" si="165"/>
        <v>d</v>
      </c>
    </row>
    <row r="7" spans="1:323" s="3" customFormat="1" ht="30" hidden="1" customHeight="1" thickBot="1" x14ac:dyDescent="0.35">
      <c r="A7" s="46" t="s">
        <v>7</v>
      </c>
      <c r="B7" s="15" t="s">
        <v>41</v>
      </c>
      <c r="C7" s="52"/>
      <c r="D7" s="16"/>
      <c r="E7" s="70"/>
      <c r="F7" s="71"/>
      <c r="G7" s="14"/>
      <c r="H7" s="14" t="str">
        <f t="shared" ref="H7:H45" si="166">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c r="HD7" s="31"/>
      <c r="HE7" s="31"/>
      <c r="HF7" s="31"/>
      <c r="HG7" s="31"/>
      <c r="HH7" s="31"/>
      <c r="HI7" s="31"/>
      <c r="HJ7" s="31"/>
      <c r="HK7" s="31"/>
      <c r="HL7" s="31"/>
      <c r="HM7" s="31"/>
      <c r="HN7" s="31"/>
      <c r="HO7" s="31"/>
      <c r="HP7" s="31"/>
      <c r="HQ7" s="31"/>
      <c r="HR7" s="31"/>
      <c r="HS7" s="31"/>
      <c r="HT7" s="31"/>
      <c r="HU7" s="31"/>
      <c r="HV7" s="31"/>
      <c r="HW7" s="31"/>
      <c r="HX7" s="31"/>
      <c r="HY7" s="31"/>
      <c r="HZ7" s="31"/>
      <c r="IA7" s="31"/>
      <c r="IB7" s="31"/>
      <c r="IC7" s="31"/>
      <c r="ID7" s="31"/>
      <c r="IE7" s="31"/>
      <c r="IF7" s="31"/>
      <c r="IG7" s="31"/>
      <c r="IH7" s="31"/>
      <c r="II7" s="31"/>
      <c r="IJ7" s="31"/>
      <c r="IK7" s="31"/>
      <c r="IL7" s="31"/>
      <c r="IM7" s="31"/>
      <c r="IN7" s="31"/>
      <c r="IO7" s="31"/>
      <c r="IP7" s="31"/>
      <c r="IQ7" s="31"/>
      <c r="IR7" s="31"/>
      <c r="IS7" s="31"/>
      <c r="IT7" s="31"/>
      <c r="IU7" s="31"/>
      <c r="IV7" s="31"/>
      <c r="IW7" s="31"/>
      <c r="IX7" s="31"/>
      <c r="IY7" s="31"/>
      <c r="IZ7" s="31"/>
      <c r="JA7" s="31"/>
      <c r="JB7" s="31"/>
      <c r="JC7" s="31"/>
      <c r="JD7" s="31"/>
      <c r="JE7" s="31"/>
      <c r="JF7" s="31"/>
      <c r="JG7" s="31"/>
      <c r="JH7" s="31"/>
      <c r="JI7" s="31"/>
      <c r="JJ7" s="31"/>
      <c r="JK7" s="31"/>
      <c r="JL7" s="31"/>
      <c r="JM7" s="31"/>
      <c r="JN7" s="31"/>
      <c r="JO7" s="31"/>
      <c r="JP7" s="31"/>
      <c r="JQ7" s="31"/>
      <c r="JR7" s="31"/>
      <c r="JS7" s="31"/>
      <c r="JT7" s="31"/>
      <c r="JU7" s="31"/>
      <c r="JV7" s="31"/>
      <c r="JW7" s="31"/>
      <c r="JX7" s="31"/>
      <c r="JY7" s="31"/>
      <c r="JZ7" s="31"/>
      <c r="KA7" s="31"/>
      <c r="KB7" s="31"/>
      <c r="KC7" s="31"/>
      <c r="KD7" s="31"/>
      <c r="KE7" s="31"/>
      <c r="KF7" s="31"/>
      <c r="KG7" s="31"/>
      <c r="KH7" s="31"/>
      <c r="KI7" s="31"/>
      <c r="KJ7" s="31"/>
      <c r="KK7" s="31"/>
      <c r="KL7" s="31"/>
      <c r="KM7" s="31"/>
      <c r="KN7" s="31"/>
      <c r="KO7" s="31"/>
      <c r="KP7" s="31"/>
      <c r="KQ7" s="31"/>
      <c r="KR7" s="31"/>
      <c r="KS7" s="31"/>
      <c r="KT7" s="31"/>
      <c r="KU7" s="31"/>
      <c r="KV7" s="31"/>
      <c r="KW7" s="31"/>
      <c r="KX7" s="31"/>
      <c r="KY7" s="31"/>
      <c r="KZ7" s="31"/>
      <c r="LA7" s="31"/>
      <c r="LB7" s="31"/>
      <c r="LC7" s="31"/>
      <c r="LD7" s="31"/>
      <c r="LE7" s="31"/>
      <c r="LF7" s="31"/>
      <c r="LG7" s="31"/>
      <c r="LH7" s="31"/>
      <c r="LI7" s="31"/>
      <c r="LJ7" s="31"/>
      <c r="LK7" s="31"/>
    </row>
    <row r="8" spans="1:323" s="3" customFormat="1" ht="30" hidden="1" customHeight="1" thickBot="1" x14ac:dyDescent="0.35">
      <c r="A8" s="46" t="s">
        <v>8</v>
      </c>
      <c r="B8" s="61" t="s">
        <v>41</v>
      </c>
      <c r="C8" s="53" t="s">
        <v>42</v>
      </c>
      <c r="D8" s="17">
        <v>1</v>
      </c>
      <c r="E8" s="72">
        <f>Início_do_projeto</f>
        <v>46081</v>
      </c>
      <c r="F8" s="72">
        <v>46082</v>
      </c>
      <c r="G8" s="14"/>
      <c r="H8" s="14">
        <f t="shared" si="166"/>
        <v>2</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c r="ES8" s="31"/>
      <c r="ET8" s="31"/>
      <c r="EU8" s="31"/>
      <c r="EV8" s="31"/>
      <c r="EW8" s="31"/>
      <c r="EX8" s="31"/>
      <c r="EY8" s="31"/>
      <c r="EZ8" s="31"/>
      <c r="FA8" s="31"/>
      <c r="FB8" s="31"/>
      <c r="FC8" s="31"/>
      <c r="FD8" s="31"/>
      <c r="FE8" s="31"/>
      <c r="FF8" s="31"/>
      <c r="FG8" s="31"/>
      <c r="FH8" s="31"/>
      <c r="FI8" s="31"/>
      <c r="FJ8" s="31"/>
      <c r="FK8" s="31"/>
      <c r="FL8" s="31"/>
      <c r="FM8" s="31"/>
      <c r="FN8" s="31"/>
      <c r="FO8" s="31"/>
      <c r="FP8" s="31"/>
      <c r="FQ8" s="31"/>
      <c r="FR8" s="31"/>
      <c r="FS8" s="31"/>
      <c r="FT8" s="31"/>
      <c r="FU8" s="31"/>
      <c r="FV8" s="31"/>
      <c r="FW8" s="31"/>
      <c r="FX8" s="31"/>
      <c r="FY8" s="31"/>
      <c r="FZ8" s="31"/>
      <c r="GA8" s="31"/>
      <c r="GB8" s="31"/>
      <c r="GC8" s="31"/>
      <c r="GD8" s="31"/>
      <c r="GE8" s="31"/>
      <c r="GF8" s="31"/>
      <c r="GG8" s="31"/>
      <c r="GH8" s="31"/>
      <c r="GI8" s="31"/>
      <c r="GJ8" s="31"/>
      <c r="GK8" s="31"/>
      <c r="GL8" s="31"/>
      <c r="GM8" s="31"/>
      <c r="GN8" s="31"/>
      <c r="GO8" s="31"/>
      <c r="GP8" s="31"/>
      <c r="GQ8" s="31"/>
      <c r="GR8" s="31"/>
      <c r="GS8" s="31"/>
      <c r="GT8" s="31"/>
      <c r="GU8" s="31"/>
      <c r="GV8" s="31"/>
      <c r="GW8" s="31"/>
      <c r="GX8" s="31"/>
      <c r="GY8" s="31"/>
      <c r="GZ8" s="31"/>
      <c r="HA8" s="31"/>
      <c r="HB8" s="31"/>
      <c r="HC8" s="31"/>
      <c r="HD8" s="31"/>
      <c r="HE8" s="31"/>
      <c r="HF8" s="31"/>
      <c r="HG8" s="31"/>
      <c r="HH8" s="31"/>
      <c r="HI8" s="31"/>
      <c r="HJ8" s="31"/>
      <c r="HK8" s="31"/>
      <c r="HL8" s="31"/>
      <c r="HM8" s="31"/>
      <c r="HN8" s="31"/>
      <c r="HO8" s="31"/>
      <c r="HP8" s="31"/>
      <c r="HQ8" s="31"/>
      <c r="HR8" s="31"/>
      <c r="HS8" s="31"/>
      <c r="HT8" s="31"/>
      <c r="HU8" s="31"/>
      <c r="HV8" s="31"/>
      <c r="HW8" s="31"/>
      <c r="HX8" s="31"/>
      <c r="HY8" s="31"/>
      <c r="HZ8" s="31"/>
      <c r="IA8" s="31"/>
      <c r="IB8" s="31"/>
      <c r="IC8" s="31"/>
      <c r="ID8" s="31"/>
      <c r="IE8" s="31"/>
      <c r="IF8" s="31"/>
      <c r="IG8" s="31"/>
      <c r="IH8" s="31"/>
      <c r="II8" s="31"/>
      <c r="IJ8" s="31"/>
      <c r="IK8" s="31"/>
      <c r="IL8" s="31"/>
      <c r="IM8" s="31"/>
      <c r="IN8" s="31"/>
      <c r="IO8" s="31"/>
      <c r="IP8" s="31"/>
      <c r="IQ8" s="31"/>
      <c r="IR8" s="31"/>
      <c r="IS8" s="31"/>
      <c r="IT8" s="31"/>
      <c r="IU8" s="31"/>
      <c r="IV8" s="31"/>
      <c r="IW8" s="31"/>
      <c r="IX8" s="31"/>
      <c r="IY8" s="31"/>
      <c r="IZ8" s="31"/>
      <c r="JA8" s="31"/>
      <c r="JB8" s="31"/>
      <c r="JC8" s="31"/>
      <c r="JD8" s="31"/>
      <c r="JE8" s="31"/>
      <c r="JF8" s="31"/>
      <c r="JG8" s="31"/>
      <c r="JH8" s="31"/>
      <c r="JI8" s="31"/>
      <c r="JJ8" s="31"/>
      <c r="JK8" s="31"/>
      <c r="JL8" s="31"/>
      <c r="JM8" s="31"/>
      <c r="JN8" s="31"/>
      <c r="JO8" s="31"/>
      <c r="JP8" s="31"/>
      <c r="JQ8" s="31"/>
      <c r="JR8" s="31"/>
      <c r="JS8" s="31"/>
      <c r="JT8" s="31"/>
      <c r="JU8" s="31"/>
      <c r="JV8" s="31"/>
      <c r="JW8" s="31"/>
      <c r="JX8" s="31"/>
      <c r="JY8" s="31"/>
      <c r="JZ8" s="31"/>
      <c r="KA8" s="31"/>
      <c r="KB8" s="31"/>
      <c r="KC8" s="31"/>
      <c r="KD8" s="31"/>
      <c r="KE8" s="31"/>
      <c r="KF8" s="31"/>
      <c r="KG8" s="31"/>
      <c r="KH8" s="31"/>
      <c r="KI8" s="31"/>
      <c r="KJ8" s="31"/>
      <c r="KK8" s="31"/>
      <c r="KL8" s="31"/>
      <c r="KM8" s="31"/>
      <c r="KN8" s="31"/>
      <c r="KO8" s="31"/>
      <c r="KP8" s="31"/>
      <c r="KQ8" s="31"/>
      <c r="KR8" s="31"/>
      <c r="KS8" s="31"/>
      <c r="KT8" s="31"/>
      <c r="KU8" s="31"/>
      <c r="KV8" s="31"/>
      <c r="KW8" s="31"/>
      <c r="KX8" s="31"/>
      <c r="KY8" s="31"/>
      <c r="KZ8" s="31"/>
      <c r="LA8" s="31"/>
      <c r="LB8" s="31"/>
      <c r="LC8" s="31"/>
      <c r="LD8" s="31"/>
      <c r="LE8" s="31"/>
      <c r="LF8" s="31"/>
      <c r="LG8" s="31"/>
      <c r="LH8" s="31"/>
      <c r="LI8" s="31"/>
      <c r="LJ8" s="31"/>
      <c r="LK8" s="31"/>
    </row>
    <row r="9" spans="1:323" s="3" customFormat="1" ht="30" hidden="1" customHeight="1" thickBot="1" x14ac:dyDescent="0.35">
      <c r="A9" s="46" t="s">
        <v>9</v>
      </c>
      <c r="B9" s="61" t="s">
        <v>43</v>
      </c>
      <c r="C9" s="53" t="s">
        <v>44</v>
      </c>
      <c r="D9" s="17">
        <v>1</v>
      </c>
      <c r="E9" s="72">
        <v>46081</v>
      </c>
      <c r="F9" s="72">
        <v>46081</v>
      </c>
      <c r="G9" s="14"/>
      <c r="H9" s="14">
        <f t="shared" si="166"/>
        <v>1</v>
      </c>
      <c r="I9" s="31"/>
      <c r="J9" s="31"/>
      <c r="K9" s="31"/>
      <c r="L9" s="31"/>
      <c r="M9" s="31"/>
      <c r="N9" s="31"/>
      <c r="O9" s="31"/>
      <c r="P9" s="31"/>
      <c r="Q9" s="31"/>
      <c r="R9" s="31"/>
      <c r="S9" s="31"/>
      <c r="T9" s="31"/>
      <c r="U9" s="32"/>
      <c r="V9" s="32"/>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c r="HD9" s="31"/>
      <c r="HE9" s="31"/>
      <c r="HF9" s="31"/>
      <c r="HG9" s="31"/>
      <c r="HH9" s="31"/>
      <c r="HI9" s="31"/>
      <c r="HJ9" s="31"/>
      <c r="HK9" s="31"/>
      <c r="HL9" s="31"/>
      <c r="HM9" s="31"/>
      <c r="HN9" s="31"/>
      <c r="HO9" s="31"/>
      <c r="HP9" s="31"/>
      <c r="HQ9" s="31"/>
      <c r="HR9" s="31"/>
      <c r="HS9" s="31"/>
      <c r="HT9" s="31"/>
      <c r="HU9" s="31"/>
      <c r="HV9" s="31"/>
      <c r="HW9" s="31"/>
      <c r="HX9" s="31"/>
      <c r="HY9" s="31"/>
      <c r="HZ9" s="31"/>
      <c r="IA9" s="31"/>
      <c r="IB9" s="31"/>
      <c r="IC9" s="31"/>
      <c r="ID9" s="31"/>
      <c r="IE9" s="31"/>
      <c r="IF9" s="31"/>
      <c r="IG9" s="31"/>
      <c r="IH9" s="31"/>
      <c r="II9" s="31"/>
      <c r="IJ9" s="31"/>
      <c r="IK9" s="31"/>
      <c r="IL9" s="31"/>
      <c r="IM9" s="31"/>
      <c r="IN9" s="31"/>
      <c r="IO9" s="31"/>
      <c r="IP9" s="31"/>
      <c r="IQ9" s="31"/>
      <c r="IR9" s="31"/>
      <c r="IS9" s="31"/>
      <c r="IT9" s="31"/>
      <c r="IU9" s="31"/>
      <c r="IV9" s="31"/>
      <c r="IW9" s="31"/>
      <c r="IX9" s="31"/>
      <c r="IY9" s="31"/>
      <c r="IZ9" s="31"/>
      <c r="JA9" s="31"/>
      <c r="JB9" s="31"/>
      <c r="JC9" s="31"/>
      <c r="JD9" s="31"/>
      <c r="JE9" s="31"/>
      <c r="JF9" s="31"/>
      <c r="JG9" s="31"/>
      <c r="JH9" s="31"/>
      <c r="JI9" s="31"/>
      <c r="JJ9" s="31"/>
      <c r="JK9" s="31"/>
      <c r="JL9" s="31"/>
      <c r="JM9" s="31"/>
      <c r="JN9" s="31"/>
      <c r="JO9" s="31"/>
      <c r="JP9" s="31"/>
      <c r="JQ9" s="31"/>
      <c r="JR9" s="31"/>
      <c r="JS9" s="31"/>
      <c r="JT9" s="31"/>
      <c r="JU9" s="31"/>
      <c r="JV9" s="31"/>
      <c r="JW9" s="31"/>
      <c r="JX9" s="31"/>
      <c r="JY9" s="31"/>
      <c r="JZ9" s="31"/>
      <c r="KA9" s="31"/>
      <c r="KB9" s="31"/>
      <c r="KC9" s="31"/>
      <c r="KD9" s="31"/>
      <c r="KE9" s="31"/>
      <c r="KF9" s="31"/>
      <c r="KG9" s="31"/>
      <c r="KH9" s="31"/>
      <c r="KI9" s="31"/>
      <c r="KJ9" s="31"/>
      <c r="KK9" s="31"/>
      <c r="KL9" s="31"/>
      <c r="KM9" s="31"/>
      <c r="KN9" s="31"/>
      <c r="KO9" s="31"/>
      <c r="KP9" s="31"/>
      <c r="KQ9" s="31"/>
      <c r="KR9" s="31"/>
      <c r="KS9" s="31"/>
      <c r="KT9" s="31"/>
      <c r="KU9" s="31"/>
      <c r="KV9" s="31"/>
      <c r="KW9" s="31"/>
      <c r="KX9" s="31"/>
      <c r="KY9" s="31"/>
      <c r="KZ9" s="31"/>
      <c r="LA9" s="31"/>
      <c r="LB9" s="31"/>
      <c r="LC9" s="31"/>
      <c r="LD9" s="31"/>
      <c r="LE9" s="31"/>
      <c r="LF9" s="31"/>
      <c r="LG9" s="31"/>
      <c r="LH9" s="31"/>
      <c r="LI9" s="31"/>
      <c r="LJ9" s="31"/>
      <c r="LK9" s="31"/>
    </row>
    <row r="10" spans="1:323" s="3" customFormat="1" ht="30" hidden="1" customHeight="1" thickBot="1" x14ac:dyDescent="0.35">
      <c r="A10" s="45"/>
      <c r="B10" s="61" t="s">
        <v>45</v>
      </c>
      <c r="C10" s="53" t="s">
        <v>46</v>
      </c>
      <c r="D10" s="17">
        <v>1</v>
      </c>
      <c r="E10" s="72">
        <f>F9</f>
        <v>46081</v>
      </c>
      <c r="F10" s="72">
        <v>46082</v>
      </c>
      <c r="G10" s="14"/>
      <c r="H10" s="14">
        <f t="shared" si="166"/>
        <v>2</v>
      </c>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c r="IL10" s="31"/>
      <c r="IM10" s="31"/>
      <c r="IN10" s="31"/>
      <c r="IO10" s="31"/>
      <c r="IP10" s="31"/>
      <c r="IQ10" s="31"/>
      <c r="IR10" s="31"/>
      <c r="IS10" s="31"/>
      <c r="IT10" s="31"/>
      <c r="IU10" s="31"/>
      <c r="IV10" s="31"/>
      <c r="IW10" s="31"/>
      <c r="IX10" s="31"/>
      <c r="IY10" s="31"/>
      <c r="IZ10" s="31"/>
      <c r="JA10" s="31"/>
      <c r="JB10" s="31"/>
      <c r="JC10" s="31"/>
      <c r="JD10" s="31"/>
      <c r="JE10" s="31"/>
      <c r="JF10" s="31"/>
      <c r="JG10" s="31"/>
      <c r="JH10" s="31"/>
      <c r="JI10" s="31"/>
      <c r="JJ10" s="31"/>
      <c r="JK10" s="31"/>
      <c r="JL10" s="31"/>
      <c r="JM10" s="31"/>
      <c r="JN10" s="31"/>
      <c r="JO10" s="31"/>
      <c r="JP10" s="31"/>
      <c r="JQ10" s="31"/>
      <c r="JR10" s="31"/>
      <c r="JS10" s="31"/>
      <c r="JT10" s="31"/>
      <c r="JU10" s="31"/>
      <c r="JV10" s="31"/>
      <c r="JW10" s="31"/>
      <c r="JX10" s="31"/>
      <c r="JY10" s="31"/>
      <c r="JZ10" s="31"/>
      <c r="KA10" s="31"/>
      <c r="KB10" s="31"/>
      <c r="KC10" s="31"/>
      <c r="KD10" s="31"/>
      <c r="KE10" s="31"/>
      <c r="KF10" s="31"/>
      <c r="KG10" s="31"/>
      <c r="KH10" s="31"/>
      <c r="KI10" s="31"/>
      <c r="KJ10" s="31"/>
      <c r="KK10" s="31"/>
      <c r="KL10" s="31"/>
      <c r="KM10" s="31"/>
      <c r="KN10" s="31"/>
      <c r="KO10" s="31"/>
      <c r="KP10" s="31"/>
      <c r="KQ10" s="31"/>
      <c r="KR10" s="31"/>
      <c r="KS10" s="31"/>
      <c r="KT10" s="31"/>
      <c r="KU10" s="31"/>
      <c r="KV10" s="31"/>
      <c r="KW10" s="31"/>
      <c r="KX10" s="31"/>
      <c r="KY10" s="31"/>
      <c r="KZ10" s="31"/>
      <c r="LA10" s="31"/>
      <c r="LB10" s="31"/>
      <c r="LC10" s="31"/>
      <c r="LD10" s="31"/>
      <c r="LE10" s="31"/>
      <c r="LF10" s="31"/>
      <c r="LG10" s="31"/>
      <c r="LH10" s="31"/>
      <c r="LI10" s="31"/>
      <c r="LJ10" s="31"/>
      <c r="LK10" s="31"/>
    </row>
    <row r="11" spans="1:323" s="3" customFormat="1" ht="30" hidden="1" customHeight="1" thickBot="1" x14ac:dyDescent="0.35">
      <c r="A11" s="45"/>
      <c r="B11" s="61" t="s">
        <v>47</v>
      </c>
      <c r="C11" s="53" t="s">
        <v>42</v>
      </c>
      <c r="D11" s="17">
        <v>1</v>
      </c>
      <c r="E11" s="72">
        <v>46081</v>
      </c>
      <c r="F11" s="72">
        <v>46082</v>
      </c>
      <c r="G11" s="14"/>
      <c r="H11" s="14">
        <f t="shared" si="166"/>
        <v>2</v>
      </c>
      <c r="I11" s="31"/>
      <c r="J11" s="31"/>
      <c r="K11" s="31"/>
      <c r="L11" s="31"/>
      <c r="M11" s="31"/>
      <c r="N11" s="31"/>
      <c r="O11" s="31"/>
      <c r="P11" s="31"/>
      <c r="Q11" s="31"/>
      <c r="R11" s="31"/>
      <c r="S11" s="31"/>
      <c r="T11" s="31"/>
      <c r="U11" s="31"/>
      <c r="V11" s="31"/>
      <c r="W11" s="31"/>
      <c r="X11" s="31"/>
      <c r="Y11" s="32"/>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c r="HX11" s="31"/>
      <c r="HY11" s="31"/>
      <c r="HZ11" s="31"/>
      <c r="IA11" s="31"/>
      <c r="IB11" s="31"/>
      <c r="IC11" s="31"/>
      <c r="ID11" s="31"/>
      <c r="IE11" s="31"/>
      <c r="IF11" s="31"/>
      <c r="IG11" s="31"/>
      <c r="IH11" s="31"/>
      <c r="II11" s="31"/>
      <c r="IJ11" s="31"/>
      <c r="IK11" s="31"/>
      <c r="IL11" s="31"/>
      <c r="IM11" s="31"/>
      <c r="IN11" s="31"/>
      <c r="IO11" s="31"/>
      <c r="IP11" s="31"/>
      <c r="IQ11" s="31"/>
      <c r="IR11" s="31"/>
      <c r="IS11" s="31"/>
      <c r="IT11" s="31"/>
      <c r="IU11" s="31"/>
      <c r="IV11" s="31"/>
      <c r="IW11" s="31"/>
      <c r="IX11" s="31"/>
      <c r="IY11" s="31"/>
      <c r="IZ11" s="31"/>
      <c r="JA11" s="31"/>
      <c r="JB11" s="31"/>
      <c r="JC11" s="31"/>
      <c r="JD11" s="31"/>
      <c r="JE11" s="31"/>
      <c r="JF11" s="31"/>
      <c r="JG11" s="31"/>
      <c r="JH11" s="31"/>
      <c r="JI11" s="31"/>
      <c r="JJ11" s="31"/>
      <c r="JK11" s="31"/>
      <c r="JL11" s="31"/>
      <c r="JM11" s="31"/>
      <c r="JN11" s="31"/>
      <c r="JO11" s="31"/>
      <c r="JP11" s="31"/>
      <c r="JQ11" s="31"/>
      <c r="JR11" s="31"/>
      <c r="JS11" s="31"/>
      <c r="JT11" s="31"/>
      <c r="JU11" s="31"/>
      <c r="JV11" s="31"/>
      <c r="JW11" s="31"/>
      <c r="JX11" s="31"/>
      <c r="JY11" s="31"/>
      <c r="JZ11" s="31"/>
      <c r="KA11" s="31"/>
      <c r="KB11" s="31"/>
      <c r="KC11" s="31"/>
      <c r="KD11" s="31"/>
      <c r="KE11" s="31"/>
      <c r="KF11" s="31"/>
      <c r="KG11" s="31"/>
      <c r="KH11" s="31"/>
      <c r="KI11" s="31"/>
      <c r="KJ11" s="31"/>
      <c r="KK11" s="31"/>
      <c r="KL11" s="31"/>
      <c r="KM11" s="31"/>
      <c r="KN11" s="31"/>
      <c r="KO11" s="31"/>
      <c r="KP11" s="31"/>
      <c r="KQ11" s="31"/>
      <c r="KR11" s="31"/>
      <c r="KS11" s="31"/>
      <c r="KT11" s="31"/>
      <c r="KU11" s="31"/>
      <c r="KV11" s="31"/>
      <c r="KW11" s="31"/>
      <c r="KX11" s="31"/>
      <c r="KY11" s="31"/>
      <c r="KZ11" s="31"/>
      <c r="LA11" s="31"/>
      <c r="LB11" s="31"/>
      <c r="LC11" s="31"/>
      <c r="LD11" s="31"/>
      <c r="LE11" s="31"/>
      <c r="LF11" s="31"/>
      <c r="LG11" s="31"/>
      <c r="LH11" s="31"/>
      <c r="LI11" s="31"/>
      <c r="LJ11" s="31"/>
      <c r="LK11" s="31"/>
    </row>
    <row r="12" spans="1:323" s="3" customFormat="1" ht="30" hidden="1" customHeight="1" thickBot="1" x14ac:dyDescent="0.35">
      <c r="A12" s="45"/>
      <c r="B12" s="61" t="s">
        <v>48</v>
      </c>
      <c r="C12" s="53" t="s">
        <v>42</v>
      </c>
      <c r="D12" s="17">
        <v>1</v>
      </c>
      <c r="E12" s="72">
        <v>46081</v>
      </c>
      <c r="F12" s="72">
        <v>46082</v>
      </c>
      <c r="G12" s="14"/>
      <c r="H12" s="14">
        <f t="shared" si="166"/>
        <v>2</v>
      </c>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c r="HD12" s="31"/>
      <c r="HE12" s="31"/>
      <c r="HF12" s="31"/>
      <c r="HG12" s="31"/>
      <c r="HH12" s="31"/>
      <c r="HI12" s="31"/>
      <c r="HJ12" s="31"/>
      <c r="HK12" s="31"/>
      <c r="HL12" s="31"/>
      <c r="HM12" s="31"/>
      <c r="HN12" s="31"/>
      <c r="HO12" s="31"/>
      <c r="HP12" s="31"/>
      <c r="HQ12" s="31"/>
      <c r="HR12" s="31"/>
      <c r="HS12" s="31"/>
      <c r="HT12" s="31"/>
      <c r="HU12" s="31"/>
      <c r="HV12" s="31"/>
      <c r="HW12" s="31"/>
      <c r="HX12" s="31"/>
      <c r="HY12" s="31"/>
      <c r="HZ12" s="31"/>
      <c r="IA12" s="31"/>
      <c r="IB12" s="31"/>
      <c r="IC12" s="31"/>
      <c r="ID12" s="31"/>
      <c r="IE12" s="31"/>
      <c r="IF12" s="31"/>
      <c r="IG12" s="31"/>
      <c r="IH12" s="31"/>
      <c r="II12" s="31"/>
      <c r="IJ12" s="31"/>
      <c r="IK12" s="31"/>
      <c r="IL12" s="31"/>
      <c r="IM12" s="31"/>
      <c r="IN12" s="31"/>
      <c r="IO12" s="31"/>
      <c r="IP12" s="31"/>
      <c r="IQ12" s="31"/>
      <c r="IR12" s="31"/>
      <c r="IS12" s="31"/>
      <c r="IT12" s="31"/>
      <c r="IU12" s="31"/>
      <c r="IV12" s="31"/>
      <c r="IW12" s="31"/>
      <c r="IX12" s="31"/>
      <c r="IY12" s="31"/>
      <c r="IZ12" s="31"/>
      <c r="JA12" s="31"/>
      <c r="JB12" s="31"/>
      <c r="JC12" s="31"/>
      <c r="JD12" s="31"/>
      <c r="JE12" s="31"/>
      <c r="JF12" s="31"/>
      <c r="JG12" s="31"/>
      <c r="JH12" s="31"/>
      <c r="JI12" s="31"/>
      <c r="JJ12" s="31"/>
      <c r="JK12" s="31"/>
      <c r="JL12" s="31"/>
      <c r="JM12" s="31"/>
      <c r="JN12" s="31"/>
      <c r="JO12" s="31"/>
      <c r="JP12" s="31"/>
      <c r="JQ12" s="31"/>
      <c r="JR12" s="31"/>
      <c r="JS12" s="31"/>
      <c r="JT12" s="31"/>
      <c r="JU12" s="31"/>
      <c r="JV12" s="31"/>
      <c r="JW12" s="31"/>
      <c r="JX12" s="31"/>
      <c r="JY12" s="31"/>
      <c r="JZ12" s="31"/>
      <c r="KA12" s="31"/>
      <c r="KB12" s="31"/>
      <c r="KC12" s="31"/>
      <c r="KD12" s="31"/>
      <c r="KE12" s="31"/>
      <c r="KF12" s="31"/>
      <c r="KG12" s="31"/>
      <c r="KH12" s="31"/>
      <c r="KI12" s="31"/>
      <c r="KJ12" s="31"/>
      <c r="KK12" s="31"/>
      <c r="KL12" s="31"/>
      <c r="KM12" s="31"/>
      <c r="KN12" s="31"/>
      <c r="KO12" s="31"/>
      <c r="KP12" s="31"/>
      <c r="KQ12" s="31"/>
      <c r="KR12" s="31"/>
      <c r="KS12" s="31"/>
      <c r="KT12" s="31"/>
      <c r="KU12" s="31"/>
      <c r="KV12" s="31"/>
      <c r="KW12" s="31"/>
      <c r="KX12" s="31"/>
      <c r="KY12" s="31"/>
      <c r="KZ12" s="31"/>
      <c r="LA12" s="31"/>
      <c r="LB12" s="31"/>
      <c r="LC12" s="31"/>
      <c r="LD12" s="31"/>
      <c r="LE12" s="31"/>
      <c r="LF12" s="31"/>
      <c r="LG12" s="31"/>
      <c r="LH12" s="31"/>
      <c r="LI12" s="31"/>
      <c r="LJ12" s="31"/>
      <c r="LK12" s="31"/>
    </row>
    <row r="13" spans="1:323" s="3" customFormat="1" ht="30" hidden="1" customHeight="1" thickBot="1" x14ac:dyDescent="0.35">
      <c r="A13" s="45"/>
      <c r="B13" s="61" t="s">
        <v>49</v>
      </c>
      <c r="C13" s="53" t="s">
        <v>46</v>
      </c>
      <c r="D13" s="17">
        <v>1</v>
      </c>
      <c r="E13" s="72">
        <v>46081</v>
      </c>
      <c r="F13" s="72">
        <v>46082</v>
      </c>
      <c r="G13" s="14"/>
      <c r="H13" s="14"/>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c r="HD13" s="31"/>
      <c r="HE13" s="31"/>
      <c r="HF13" s="31"/>
      <c r="HG13" s="31"/>
      <c r="HH13" s="31"/>
      <c r="HI13" s="31"/>
      <c r="HJ13" s="31"/>
      <c r="HK13" s="31"/>
      <c r="HL13" s="31"/>
      <c r="HM13" s="31"/>
      <c r="HN13" s="31"/>
      <c r="HO13" s="31"/>
      <c r="HP13" s="31"/>
      <c r="HQ13" s="31"/>
      <c r="HR13" s="31"/>
      <c r="HS13" s="31"/>
      <c r="HT13" s="31"/>
      <c r="HU13" s="31"/>
      <c r="HV13" s="31"/>
      <c r="HW13" s="31"/>
      <c r="HX13" s="31"/>
      <c r="HY13" s="31"/>
      <c r="HZ13" s="31"/>
      <c r="IA13" s="31"/>
      <c r="IB13" s="31"/>
      <c r="IC13" s="31"/>
      <c r="ID13" s="31"/>
      <c r="IE13" s="31"/>
      <c r="IF13" s="31"/>
      <c r="IG13" s="31"/>
      <c r="IH13" s="31"/>
      <c r="II13" s="31"/>
      <c r="IJ13" s="31"/>
      <c r="IK13" s="31"/>
      <c r="IL13" s="31"/>
      <c r="IM13" s="31"/>
      <c r="IN13" s="31"/>
      <c r="IO13" s="31"/>
      <c r="IP13" s="31"/>
      <c r="IQ13" s="31"/>
      <c r="IR13" s="31"/>
      <c r="IS13" s="31"/>
      <c r="IT13" s="31"/>
      <c r="IU13" s="31"/>
      <c r="IV13" s="31"/>
      <c r="IW13" s="31"/>
      <c r="IX13" s="31"/>
      <c r="IY13" s="31"/>
      <c r="IZ13" s="31"/>
      <c r="JA13" s="31"/>
      <c r="JB13" s="31"/>
      <c r="JC13" s="31"/>
      <c r="JD13" s="31"/>
      <c r="JE13" s="31"/>
      <c r="JF13" s="31"/>
      <c r="JG13" s="31"/>
      <c r="JH13" s="31"/>
      <c r="JI13" s="31"/>
      <c r="JJ13" s="31"/>
      <c r="JK13" s="31"/>
      <c r="JL13" s="31"/>
      <c r="JM13" s="31"/>
      <c r="JN13" s="31"/>
      <c r="JO13" s="31"/>
      <c r="JP13" s="31"/>
      <c r="JQ13" s="31"/>
      <c r="JR13" s="31"/>
      <c r="JS13" s="31"/>
      <c r="JT13" s="31"/>
      <c r="JU13" s="31"/>
      <c r="JV13" s="31"/>
      <c r="JW13" s="31"/>
      <c r="JX13" s="31"/>
      <c r="JY13" s="31"/>
      <c r="JZ13" s="31"/>
      <c r="KA13" s="31"/>
      <c r="KB13" s="31"/>
      <c r="KC13" s="31"/>
      <c r="KD13" s="31"/>
      <c r="KE13" s="31"/>
      <c r="KF13" s="31"/>
      <c r="KG13" s="31"/>
      <c r="KH13" s="31"/>
      <c r="KI13" s="31"/>
      <c r="KJ13" s="31"/>
      <c r="KK13" s="31"/>
      <c r="KL13" s="31"/>
      <c r="KM13" s="31"/>
      <c r="KN13" s="31"/>
      <c r="KO13" s="31"/>
      <c r="KP13" s="31"/>
      <c r="KQ13" s="31"/>
      <c r="KR13" s="31"/>
      <c r="KS13" s="31"/>
      <c r="KT13" s="31"/>
      <c r="KU13" s="31"/>
      <c r="KV13" s="31"/>
      <c r="KW13" s="31"/>
      <c r="KX13" s="31"/>
      <c r="KY13" s="31"/>
      <c r="KZ13" s="31"/>
      <c r="LA13" s="31"/>
      <c r="LB13" s="31"/>
      <c r="LC13" s="31"/>
      <c r="LD13" s="31"/>
      <c r="LE13" s="31"/>
      <c r="LF13" s="31"/>
      <c r="LG13" s="31"/>
      <c r="LH13" s="31"/>
      <c r="LI13" s="31"/>
      <c r="LJ13" s="31"/>
      <c r="LK13" s="31"/>
    </row>
    <row r="14" spans="1:323" s="3" customFormat="1" ht="30" hidden="1" customHeight="1" thickBot="1" x14ac:dyDescent="0.35">
      <c r="A14" s="45"/>
      <c r="B14" s="61" t="s">
        <v>50</v>
      </c>
      <c r="C14" s="53" t="s">
        <v>44</v>
      </c>
      <c r="D14" s="17">
        <v>1</v>
      </c>
      <c r="E14" s="72">
        <v>46081</v>
      </c>
      <c r="F14" s="72">
        <v>46082</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c r="HD14" s="31"/>
      <c r="HE14" s="31"/>
      <c r="HF14" s="31"/>
      <c r="HG14" s="31"/>
      <c r="HH14" s="31"/>
      <c r="HI14" s="31"/>
      <c r="HJ14" s="31"/>
      <c r="HK14" s="31"/>
      <c r="HL14" s="31"/>
      <c r="HM14" s="31"/>
      <c r="HN14" s="31"/>
      <c r="HO14" s="31"/>
      <c r="HP14" s="31"/>
      <c r="HQ14" s="31"/>
      <c r="HR14" s="31"/>
      <c r="HS14" s="31"/>
      <c r="HT14" s="31"/>
      <c r="HU14" s="31"/>
      <c r="HV14" s="31"/>
      <c r="HW14" s="31"/>
      <c r="HX14" s="31"/>
      <c r="HY14" s="31"/>
      <c r="HZ14" s="31"/>
      <c r="IA14" s="31"/>
      <c r="IB14" s="31"/>
      <c r="IC14" s="31"/>
      <c r="ID14" s="31"/>
      <c r="IE14" s="31"/>
      <c r="IF14" s="31"/>
      <c r="IG14" s="31"/>
      <c r="IH14" s="31"/>
      <c r="II14" s="31"/>
      <c r="IJ14" s="31"/>
      <c r="IK14" s="31"/>
      <c r="IL14" s="31"/>
      <c r="IM14" s="31"/>
      <c r="IN14" s="31"/>
      <c r="IO14" s="31"/>
      <c r="IP14" s="31"/>
      <c r="IQ14" s="31"/>
      <c r="IR14" s="31"/>
      <c r="IS14" s="31"/>
      <c r="IT14" s="31"/>
      <c r="IU14" s="31"/>
      <c r="IV14" s="31"/>
      <c r="IW14" s="31"/>
      <c r="IX14" s="31"/>
      <c r="IY14" s="31"/>
      <c r="IZ14" s="31"/>
      <c r="JA14" s="31"/>
      <c r="JB14" s="31"/>
      <c r="JC14" s="31"/>
      <c r="JD14" s="31"/>
      <c r="JE14" s="31"/>
      <c r="JF14" s="31"/>
      <c r="JG14" s="31"/>
      <c r="JH14" s="31"/>
      <c r="JI14" s="31"/>
      <c r="JJ14" s="31"/>
      <c r="JK14" s="31"/>
      <c r="JL14" s="31"/>
      <c r="JM14" s="31"/>
      <c r="JN14" s="31"/>
      <c r="JO14" s="31"/>
      <c r="JP14" s="31"/>
      <c r="JQ14" s="31"/>
      <c r="JR14" s="31"/>
      <c r="JS14" s="31"/>
      <c r="JT14" s="31"/>
      <c r="JU14" s="31"/>
      <c r="JV14" s="31"/>
      <c r="JW14" s="31"/>
      <c r="JX14" s="31"/>
      <c r="JY14" s="31"/>
      <c r="JZ14" s="31"/>
      <c r="KA14" s="31"/>
      <c r="KB14" s="31"/>
      <c r="KC14" s="31"/>
      <c r="KD14" s="31"/>
      <c r="KE14" s="31"/>
      <c r="KF14" s="31"/>
      <c r="KG14" s="31"/>
      <c r="KH14" s="31"/>
      <c r="KI14" s="31"/>
      <c r="KJ14" s="31"/>
      <c r="KK14" s="31"/>
      <c r="KL14" s="31"/>
      <c r="KM14" s="31"/>
      <c r="KN14" s="31"/>
      <c r="KO14" s="31"/>
      <c r="KP14" s="31"/>
      <c r="KQ14" s="31"/>
      <c r="KR14" s="31"/>
      <c r="KS14" s="31"/>
      <c r="KT14" s="31"/>
      <c r="KU14" s="31"/>
      <c r="KV14" s="31"/>
      <c r="KW14" s="31"/>
      <c r="KX14" s="31"/>
      <c r="KY14" s="31"/>
      <c r="KZ14" s="31"/>
      <c r="LA14" s="31"/>
      <c r="LB14" s="31"/>
      <c r="LC14" s="31"/>
      <c r="LD14" s="31"/>
      <c r="LE14" s="31"/>
      <c r="LF14" s="31"/>
      <c r="LG14" s="31"/>
      <c r="LH14" s="31"/>
      <c r="LI14" s="31"/>
      <c r="LJ14" s="31"/>
      <c r="LK14" s="31"/>
    </row>
    <row r="15" spans="1:323" s="3" customFormat="1" ht="30" hidden="1" customHeight="1" thickBot="1" x14ac:dyDescent="0.35">
      <c r="A15" s="45"/>
      <c r="B15" s="61" t="s">
        <v>51</v>
      </c>
      <c r="C15" s="53" t="s">
        <v>46</v>
      </c>
      <c r="D15" s="17">
        <v>1</v>
      </c>
      <c r="E15" s="72">
        <v>46081</v>
      </c>
      <c r="F15" s="72">
        <v>46082</v>
      </c>
      <c r="G15" s="14"/>
      <c r="H15" s="14"/>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c r="IW15" s="31"/>
      <c r="IX15" s="31"/>
      <c r="IY15" s="31"/>
      <c r="IZ15" s="31"/>
      <c r="JA15" s="31"/>
      <c r="JB15" s="31"/>
      <c r="JC15" s="31"/>
      <c r="JD15" s="31"/>
      <c r="JE15" s="31"/>
      <c r="JF15" s="31"/>
      <c r="JG15" s="31"/>
      <c r="JH15" s="31"/>
      <c r="JI15" s="31"/>
      <c r="JJ15" s="31"/>
      <c r="JK15" s="31"/>
      <c r="JL15" s="31"/>
      <c r="JM15" s="31"/>
      <c r="JN15" s="31"/>
      <c r="JO15" s="31"/>
      <c r="JP15" s="31"/>
      <c r="JQ15" s="31"/>
      <c r="JR15" s="31"/>
      <c r="JS15" s="31"/>
      <c r="JT15" s="31"/>
      <c r="JU15" s="31"/>
      <c r="JV15" s="31"/>
      <c r="JW15" s="31"/>
      <c r="JX15" s="31"/>
      <c r="JY15" s="31"/>
      <c r="JZ15" s="31"/>
      <c r="KA15" s="31"/>
      <c r="KB15" s="31"/>
      <c r="KC15" s="31"/>
      <c r="KD15" s="31"/>
      <c r="KE15" s="31"/>
      <c r="KF15" s="31"/>
      <c r="KG15" s="31"/>
      <c r="KH15" s="31"/>
      <c r="KI15" s="31"/>
      <c r="KJ15" s="31"/>
      <c r="KK15" s="31"/>
      <c r="KL15" s="31"/>
      <c r="KM15" s="31"/>
      <c r="KN15" s="31"/>
      <c r="KO15" s="31"/>
      <c r="KP15" s="31"/>
      <c r="KQ15" s="31"/>
      <c r="KR15" s="31"/>
      <c r="KS15" s="31"/>
      <c r="KT15" s="31"/>
      <c r="KU15" s="31"/>
      <c r="KV15" s="31"/>
      <c r="KW15" s="31"/>
      <c r="KX15" s="31"/>
      <c r="KY15" s="31"/>
      <c r="KZ15" s="31"/>
      <c r="LA15" s="31"/>
      <c r="LB15" s="31"/>
      <c r="LC15" s="31"/>
      <c r="LD15" s="31"/>
      <c r="LE15" s="31"/>
      <c r="LF15" s="31"/>
      <c r="LG15" s="31"/>
      <c r="LH15" s="31"/>
      <c r="LI15" s="31"/>
      <c r="LJ15" s="31"/>
      <c r="LK15" s="31"/>
    </row>
    <row r="16" spans="1:323" s="3" customFormat="1" ht="30" hidden="1" customHeight="1" thickBot="1" x14ac:dyDescent="0.35">
      <c r="A16" s="46" t="s">
        <v>10</v>
      </c>
      <c r="B16" s="18" t="s">
        <v>52</v>
      </c>
      <c r="C16" s="54"/>
      <c r="D16" s="19"/>
      <c r="E16" s="73"/>
      <c r="F16" s="74"/>
      <c r="G16" s="14"/>
      <c r="H16" s="14" t="str">
        <f t="shared" si="166"/>
        <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c r="HX16" s="31"/>
      <c r="HY16" s="31"/>
      <c r="HZ16" s="31"/>
      <c r="IA16" s="31"/>
      <c r="IB16" s="31"/>
      <c r="IC16" s="31"/>
      <c r="ID16" s="31"/>
      <c r="IE16" s="31"/>
      <c r="IF16" s="31"/>
      <c r="IG16" s="31"/>
      <c r="IH16" s="31"/>
      <c r="II16" s="31"/>
      <c r="IJ16" s="31"/>
      <c r="IK16" s="31"/>
      <c r="IL16" s="31"/>
      <c r="IM16" s="31"/>
      <c r="IN16" s="31"/>
      <c r="IO16" s="31"/>
      <c r="IP16" s="31"/>
      <c r="IQ16" s="31"/>
      <c r="IR16" s="31"/>
      <c r="IS16" s="31"/>
      <c r="IT16" s="31"/>
      <c r="IU16" s="31"/>
      <c r="IV16" s="31"/>
      <c r="IW16" s="31"/>
      <c r="IX16" s="31"/>
      <c r="IY16" s="31"/>
      <c r="IZ16" s="31"/>
      <c r="JA16" s="31"/>
      <c r="JB16" s="31"/>
      <c r="JC16" s="31"/>
      <c r="JD16" s="31"/>
      <c r="JE16" s="31"/>
      <c r="JF16" s="31"/>
      <c r="JG16" s="31"/>
      <c r="JH16" s="31"/>
      <c r="JI16" s="31"/>
      <c r="JJ16" s="31"/>
      <c r="JK16" s="31"/>
      <c r="JL16" s="31"/>
      <c r="JM16" s="31"/>
      <c r="JN16" s="31"/>
      <c r="JO16" s="31"/>
      <c r="JP16" s="31"/>
      <c r="JQ16" s="31"/>
      <c r="JR16" s="31"/>
      <c r="JS16" s="31"/>
      <c r="JT16" s="31"/>
      <c r="JU16" s="31"/>
      <c r="JV16" s="31"/>
      <c r="JW16" s="31"/>
      <c r="JX16" s="31"/>
      <c r="JY16" s="31"/>
      <c r="JZ16" s="31"/>
      <c r="KA16" s="31"/>
      <c r="KB16" s="31"/>
      <c r="KC16" s="31"/>
      <c r="KD16" s="31"/>
      <c r="KE16" s="31"/>
      <c r="KF16" s="31"/>
      <c r="KG16" s="31"/>
      <c r="KH16" s="31"/>
      <c r="KI16" s="31"/>
      <c r="KJ16" s="31"/>
      <c r="KK16" s="31"/>
      <c r="KL16" s="31"/>
      <c r="KM16" s="31"/>
      <c r="KN16" s="31"/>
      <c r="KO16" s="31"/>
      <c r="KP16" s="31"/>
      <c r="KQ16" s="31"/>
      <c r="KR16" s="31"/>
      <c r="KS16" s="31"/>
      <c r="KT16" s="31"/>
      <c r="KU16" s="31"/>
      <c r="KV16" s="31"/>
      <c r="KW16" s="31"/>
      <c r="KX16" s="31"/>
      <c r="KY16" s="31"/>
      <c r="KZ16" s="31"/>
      <c r="LA16" s="31"/>
      <c r="LB16" s="31"/>
      <c r="LC16" s="31"/>
      <c r="LD16" s="31"/>
      <c r="LE16" s="31"/>
      <c r="LF16" s="31"/>
      <c r="LG16" s="31"/>
      <c r="LH16" s="31"/>
      <c r="LI16" s="31"/>
      <c r="LJ16" s="31"/>
      <c r="LK16" s="31"/>
    </row>
    <row r="17" spans="1:323" s="3" customFormat="1" ht="30" hidden="1" customHeight="1" thickBot="1" x14ac:dyDescent="0.35">
      <c r="A17" s="46"/>
      <c r="B17" s="62" t="s">
        <v>53</v>
      </c>
      <c r="C17" s="55" t="s">
        <v>54</v>
      </c>
      <c r="D17" s="20">
        <v>0</v>
      </c>
      <c r="E17" s="75">
        <v>46083</v>
      </c>
      <c r="F17" s="75">
        <v>46103</v>
      </c>
      <c r="G17" s="14"/>
      <c r="H17" s="14">
        <f t="shared" si="166"/>
        <v>21</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row>
    <row r="18" spans="1:323" s="3" customFormat="1" ht="30" hidden="1" customHeight="1" thickBot="1" x14ac:dyDescent="0.35">
      <c r="A18" s="45"/>
      <c r="B18" s="62" t="s">
        <v>55</v>
      </c>
      <c r="C18" s="55" t="s">
        <v>54</v>
      </c>
      <c r="D18" s="20">
        <v>0</v>
      </c>
      <c r="E18" s="75">
        <v>46083</v>
      </c>
      <c r="F18" s="75">
        <v>46103</v>
      </c>
      <c r="G18" s="14"/>
      <c r="H18" s="14">
        <f t="shared" si="166"/>
        <v>21</v>
      </c>
      <c r="I18" s="31"/>
      <c r="J18" s="31"/>
      <c r="K18" s="31"/>
      <c r="L18" s="31"/>
      <c r="M18" s="31"/>
      <c r="N18" s="31"/>
      <c r="O18" s="31"/>
      <c r="P18" s="31"/>
      <c r="Q18" s="31"/>
      <c r="R18" s="31"/>
      <c r="S18" s="31"/>
      <c r="T18" s="31"/>
      <c r="U18" s="32"/>
      <c r="V18" s="32"/>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c r="HX18" s="31"/>
      <c r="HY18" s="31"/>
      <c r="HZ18" s="31"/>
      <c r="IA18" s="31"/>
      <c r="IB18" s="31"/>
      <c r="IC18" s="31"/>
      <c r="ID18" s="31"/>
      <c r="IE18" s="31"/>
      <c r="IF18" s="31"/>
      <c r="IG18" s="31"/>
      <c r="IH18" s="31"/>
      <c r="II18" s="31"/>
      <c r="IJ18" s="31"/>
      <c r="IK18" s="31"/>
      <c r="IL18" s="31"/>
      <c r="IM18" s="31"/>
      <c r="IN18" s="31"/>
      <c r="IO18" s="31"/>
      <c r="IP18" s="31"/>
      <c r="IQ18" s="31"/>
      <c r="IR18" s="31"/>
      <c r="IS18" s="31"/>
      <c r="IT18" s="31"/>
      <c r="IU18" s="31"/>
      <c r="IV18" s="31"/>
      <c r="IW18" s="31"/>
      <c r="IX18" s="31"/>
      <c r="IY18" s="31"/>
      <c r="IZ18" s="31"/>
      <c r="JA18" s="31"/>
      <c r="JB18" s="31"/>
      <c r="JC18" s="31"/>
      <c r="JD18" s="31"/>
      <c r="JE18" s="31"/>
      <c r="JF18" s="31"/>
      <c r="JG18" s="31"/>
      <c r="JH18" s="31"/>
      <c r="JI18" s="31"/>
      <c r="JJ18" s="31"/>
      <c r="JK18" s="31"/>
      <c r="JL18" s="31"/>
      <c r="JM18" s="31"/>
      <c r="JN18" s="31"/>
      <c r="JO18" s="31"/>
      <c r="JP18" s="31"/>
      <c r="JQ18" s="31"/>
      <c r="JR18" s="31"/>
      <c r="JS18" s="31"/>
      <c r="JT18" s="31"/>
      <c r="JU18" s="31"/>
      <c r="JV18" s="31"/>
      <c r="JW18" s="31"/>
      <c r="JX18" s="31"/>
      <c r="JY18" s="31"/>
      <c r="JZ18" s="31"/>
      <c r="KA18" s="31"/>
      <c r="KB18" s="31"/>
      <c r="KC18" s="31"/>
      <c r="KD18" s="31"/>
      <c r="KE18" s="31"/>
      <c r="KF18" s="31"/>
      <c r="KG18" s="31"/>
      <c r="KH18" s="31"/>
      <c r="KI18" s="31"/>
      <c r="KJ18" s="31"/>
      <c r="KK18" s="31"/>
      <c r="KL18" s="31"/>
      <c r="KM18" s="31"/>
      <c r="KN18" s="31"/>
      <c r="KO18" s="31"/>
      <c r="KP18" s="31"/>
      <c r="KQ18" s="31"/>
      <c r="KR18" s="31"/>
      <c r="KS18" s="31"/>
      <c r="KT18" s="31"/>
      <c r="KU18" s="31"/>
      <c r="KV18" s="31"/>
      <c r="KW18" s="31"/>
      <c r="KX18" s="31"/>
      <c r="KY18" s="31"/>
      <c r="KZ18" s="31"/>
      <c r="LA18" s="31"/>
      <c r="LB18" s="31"/>
      <c r="LC18" s="31"/>
      <c r="LD18" s="31"/>
      <c r="LE18" s="31"/>
      <c r="LF18" s="31"/>
      <c r="LG18" s="31"/>
      <c r="LH18" s="31"/>
      <c r="LI18" s="31"/>
      <c r="LJ18" s="31"/>
      <c r="LK18" s="31"/>
    </row>
    <row r="19" spans="1:323" s="3" customFormat="1" ht="30" hidden="1" customHeight="1" thickBot="1" x14ac:dyDescent="0.35">
      <c r="A19" s="45"/>
      <c r="B19" s="62" t="s">
        <v>56</v>
      </c>
      <c r="C19" s="55" t="s">
        <v>54</v>
      </c>
      <c r="D19" s="20">
        <v>0</v>
      </c>
      <c r="E19" s="75">
        <v>46083</v>
      </c>
      <c r="F19" s="75">
        <v>46103</v>
      </c>
      <c r="G19" s="14"/>
      <c r="H19" s="14">
        <f t="shared" si="166"/>
        <v>21</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c r="JG19" s="31"/>
      <c r="JH19" s="31"/>
      <c r="JI19" s="31"/>
      <c r="JJ19" s="31"/>
      <c r="JK19" s="31"/>
      <c r="JL19" s="31"/>
      <c r="JM19" s="31"/>
      <c r="JN19" s="31"/>
      <c r="JO19" s="31"/>
      <c r="JP19" s="31"/>
      <c r="JQ19" s="31"/>
      <c r="JR19" s="31"/>
      <c r="JS19" s="31"/>
      <c r="JT19" s="31"/>
      <c r="JU19" s="31"/>
      <c r="JV19" s="31"/>
      <c r="JW19" s="31"/>
      <c r="JX19" s="31"/>
      <c r="JY19" s="31"/>
      <c r="JZ19" s="31"/>
      <c r="KA19" s="31"/>
      <c r="KB19" s="31"/>
      <c r="KC19" s="31"/>
      <c r="KD19" s="31"/>
      <c r="KE19" s="31"/>
      <c r="KF19" s="31"/>
      <c r="KG19" s="31"/>
      <c r="KH19" s="31"/>
      <c r="KI19" s="31"/>
      <c r="KJ19" s="31"/>
      <c r="KK19" s="31"/>
      <c r="KL19" s="31"/>
      <c r="KM19" s="31"/>
      <c r="KN19" s="31"/>
      <c r="KO19" s="31"/>
      <c r="KP19" s="31"/>
      <c r="KQ19" s="31"/>
      <c r="KR19" s="31"/>
      <c r="KS19" s="31"/>
      <c r="KT19" s="31"/>
      <c r="KU19" s="31"/>
      <c r="KV19" s="31"/>
      <c r="KW19" s="31"/>
      <c r="KX19" s="31"/>
      <c r="KY19" s="31"/>
      <c r="KZ19" s="31"/>
      <c r="LA19" s="31"/>
      <c r="LB19" s="31"/>
      <c r="LC19" s="31"/>
      <c r="LD19" s="31"/>
      <c r="LE19" s="31"/>
      <c r="LF19" s="31"/>
      <c r="LG19" s="31"/>
      <c r="LH19" s="31"/>
      <c r="LI19" s="31"/>
      <c r="LJ19" s="31"/>
      <c r="LK19" s="31"/>
    </row>
    <row r="20" spans="1:323" s="3" customFormat="1" ht="30" hidden="1" customHeight="1" thickBot="1" x14ac:dyDescent="0.35">
      <c r="A20" s="45"/>
      <c r="B20" s="62" t="s">
        <v>57</v>
      </c>
      <c r="C20" s="55" t="s">
        <v>54</v>
      </c>
      <c r="D20" s="20">
        <v>0</v>
      </c>
      <c r="E20" s="75">
        <v>46083</v>
      </c>
      <c r="F20" s="75">
        <v>46103</v>
      </c>
      <c r="G20" s="14"/>
      <c r="H20" s="14">
        <f t="shared" si="166"/>
        <v>21</v>
      </c>
      <c r="I20" s="31"/>
      <c r="J20" s="31"/>
      <c r="K20" s="31"/>
      <c r="L20" s="31"/>
      <c r="M20" s="31"/>
      <c r="N20" s="31"/>
      <c r="O20" s="31"/>
      <c r="P20" s="31"/>
      <c r="Q20" s="31"/>
      <c r="R20" s="31"/>
      <c r="S20" s="31"/>
      <c r="T20" s="31"/>
      <c r="U20" s="31"/>
      <c r="V20" s="31"/>
      <c r="W20" s="31"/>
      <c r="X20" s="31"/>
      <c r="Y20" s="32"/>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c r="GG20" s="31"/>
      <c r="GH20" s="31"/>
      <c r="GI20" s="31"/>
      <c r="GJ20" s="31"/>
      <c r="GK20" s="31"/>
      <c r="GL20" s="31"/>
      <c r="GM20" s="31"/>
      <c r="GN20" s="31"/>
      <c r="GO20" s="31"/>
      <c r="GP20" s="31"/>
      <c r="GQ20" s="31"/>
      <c r="GR20" s="31"/>
      <c r="GS20" s="31"/>
      <c r="GT20" s="31"/>
      <c r="GU20" s="31"/>
      <c r="GV20" s="31"/>
      <c r="GW20" s="31"/>
      <c r="GX20" s="31"/>
      <c r="GY20" s="31"/>
      <c r="GZ20" s="31"/>
      <c r="HA20" s="31"/>
      <c r="HB20" s="31"/>
      <c r="HC20" s="31"/>
      <c r="HD20" s="31"/>
      <c r="HE20" s="31"/>
      <c r="HF20" s="31"/>
      <c r="HG20" s="31"/>
      <c r="HH20" s="31"/>
      <c r="HI20" s="31"/>
      <c r="HJ20" s="31"/>
      <c r="HK20" s="31"/>
      <c r="HL20" s="31"/>
      <c r="HM20" s="31"/>
      <c r="HN20" s="31"/>
      <c r="HO20" s="31"/>
      <c r="HP20" s="31"/>
      <c r="HQ20" s="31"/>
      <c r="HR20" s="31"/>
      <c r="HS20" s="31"/>
      <c r="HT20" s="31"/>
      <c r="HU20" s="31"/>
      <c r="HV20" s="31"/>
      <c r="HW20" s="31"/>
      <c r="HX20" s="31"/>
      <c r="HY20" s="31"/>
      <c r="HZ20" s="31"/>
      <c r="IA20" s="31"/>
      <c r="IB20" s="31"/>
      <c r="IC20" s="31"/>
      <c r="ID20" s="31"/>
      <c r="IE20" s="31"/>
      <c r="IF20" s="31"/>
      <c r="IG20" s="31"/>
      <c r="IH20" s="31"/>
      <c r="II20" s="31"/>
      <c r="IJ20" s="31"/>
      <c r="IK20" s="31"/>
      <c r="IL20" s="31"/>
      <c r="IM20" s="31"/>
      <c r="IN20" s="31"/>
      <c r="IO20" s="31"/>
      <c r="IP20" s="31"/>
      <c r="IQ20" s="31"/>
      <c r="IR20" s="31"/>
      <c r="IS20" s="31"/>
      <c r="IT20" s="31"/>
      <c r="IU20" s="31"/>
      <c r="IV20" s="31"/>
      <c r="IW20" s="31"/>
      <c r="IX20" s="31"/>
      <c r="IY20" s="31"/>
      <c r="IZ20" s="31"/>
      <c r="JA20" s="31"/>
      <c r="JB20" s="31"/>
      <c r="JC20" s="31"/>
      <c r="JD20" s="31"/>
      <c r="JE20" s="31"/>
      <c r="JF20" s="31"/>
      <c r="JG20" s="31"/>
      <c r="JH20" s="31"/>
      <c r="JI20" s="31"/>
      <c r="JJ20" s="31"/>
      <c r="JK20" s="31"/>
      <c r="JL20" s="31"/>
      <c r="JM20" s="31"/>
      <c r="JN20" s="31"/>
      <c r="JO20" s="31"/>
      <c r="JP20" s="31"/>
      <c r="JQ20" s="31"/>
      <c r="JR20" s="31"/>
      <c r="JS20" s="31"/>
      <c r="JT20" s="31"/>
      <c r="JU20" s="31"/>
      <c r="JV20" s="31"/>
      <c r="JW20" s="31"/>
      <c r="JX20" s="31"/>
      <c r="JY20" s="31"/>
      <c r="JZ20" s="31"/>
      <c r="KA20" s="31"/>
      <c r="KB20" s="31"/>
      <c r="KC20" s="31"/>
      <c r="KD20" s="31"/>
      <c r="KE20" s="31"/>
      <c r="KF20" s="31"/>
      <c r="KG20" s="31"/>
      <c r="KH20" s="31"/>
      <c r="KI20" s="31"/>
      <c r="KJ20" s="31"/>
      <c r="KK20" s="31"/>
      <c r="KL20" s="31"/>
      <c r="KM20" s="31"/>
      <c r="KN20" s="31"/>
      <c r="KO20" s="31"/>
      <c r="KP20" s="31"/>
      <c r="KQ20" s="31"/>
      <c r="KR20" s="31"/>
      <c r="KS20" s="31"/>
      <c r="KT20" s="31"/>
      <c r="KU20" s="31"/>
      <c r="KV20" s="31"/>
      <c r="KW20" s="31"/>
      <c r="KX20" s="31"/>
      <c r="KY20" s="31"/>
      <c r="KZ20" s="31"/>
      <c r="LA20" s="31"/>
      <c r="LB20" s="31"/>
      <c r="LC20" s="31"/>
      <c r="LD20" s="31"/>
      <c r="LE20" s="31"/>
      <c r="LF20" s="31"/>
      <c r="LG20" s="31"/>
      <c r="LH20" s="31"/>
      <c r="LI20" s="31"/>
      <c r="LJ20" s="31"/>
      <c r="LK20" s="31"/>
    </row>
    <row r="21" spans="1:323" s="3" customFormat="1" ht="30" hidden="1" customHeight="1" thickBot="1" x14ac:dyDescent="0.35">
      <c r="A21" s="45"/>
      <c r="B21" s="62" t="s">
        <v>58</v>
      </c>
      <c r="C21" s="55" t="s">
        <v>54</v>
      </c>
      <c r="D21" s="20">
        <v>0</v>
      </c>
      <c r="E21" s="75">
        <v>46083</v>
      </c>
      <c r="F21" s="75">
        <v>46103</v>
      </c>
      <c r="G21" s="14"/>
      <c r="H21" s="14">
        <f t="shared" si="166"/>
        <v>21</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c r="HD21" s="31"/>
      <c r="HE21" s="31"/>
      <c r="HF21" s="31"/>
      <c r="HG21" s="31"/>
      <c r="HH21" s="31"/>
      <c r="HI21" s="31"/>
      <c r="HJ21" s="31"/>
      <c r="HK21" s="31"/>
      <c r="HL21" s="31"/>
      <c r="HM21" s="31"/>
      <c r="HN21" s="31"/>
      <c r="HO21" s="31"/>
      <c r="HP21" s="31"/>
      <c r="HQ21" s="31"/>
      <c r="HR21" s="31"/>
      <c r="HS21" s="31"/>
      <c r="HT21" s="31"/>
      <c r="HU21" s="31"/>
      <c r="HV21" s="31"/>
      <c r="HW21" s="31"/>
      <c r="HX21" s="31"/>
      <c r="HY21" s="31"/>
      <c r="HZ21" s="31"/>
      <c r="IA21" s="31"/>
      <c r="IB21" s="31"/>
      <c r="IC21" s="31"/>
      <c r="ID21" s="31"/>
      <c r="IE21" s="31"/>
      <c r="IF21" s="31"/>
      <c r="IG21" s="31"/>
      <c r="IH21" s="31"/>
      <c r="II21" s="31"/>
      <c r="IJ21" s="31"/>
      <c r="IK21" s="31"/>
      <c r="IL21" s="31"/>
      <c r="IM21" s="31"/>
      <c r="IN21" s="31"/>
      <c r="IO21" s="31"/>
      <c r="IP21" s="31"/>
      <c r="IQ21" s="31"/>
      <c r="IR21" s="31"/>
      <c r="IS21" s="31"/>
      <c r="IT21" s="31"/>
      <c r="IU21" s="31"/>
      <c r="IV21" s="31"/>
      <c r="IW21" s="31"/>
      <c r="IX21" s="31"/>
      <c r="IY21" s="31"/>
      <c r="IZ21" s="31"/>
      <c r="JA21" s="31"/>
      <c r="JB21" s="31"/>
      <c r="JC21" s="31"/>
      <c r="JD21" s="31"/>
      <c r="JE21" s="31"/>
      <c r="JF21" s="31"/>
      <c r="JG21" s="31"/>
      <c r="JH21" s="31"/>
      <c r="JI21" s="31"/>
      <c r="JJ21" s="31"/>
      <c r="JK21" s="31"/>
      <c r="JL21" s="31"/>
      <c r="JM21" s="31"/>
      <c r="JN21" s="31"/>
      <c r="JO21" s="31"/>
      <c r="JP21" s="31"/>
      <c r="JQ21" s="31"/>
      <c r="JR21" s="31"/>
      <c r="JS21" s="31"/>
      <c r="JT21" s="31"/>
      <c r="JU21" s="31"/>
      <c r="JV21" s="31"/>
      <c r="JW21" s="31"/>
      <c r="JX21" s="31"/>
      <c r="JY21" s="31"/>
      <c r="JZ21" s="31"/>
      <c r="KA21" s="31"/>
      <c r="KB21" s="31"/>
      <c r="KC21" s="31"/>
      <c r="KD21" s="31"/>
      <c r="KE21" s="31"/>
      <c r="KF21" s="31"/>
      <c r="KG21" s="31"/>
      <c r="KH21" s="31"/>
      <c r="KI21" s="31"/>
      <c r="KJ21" s="31"/>
      <c r="KK21" s="31"/>
      <c r="KL21" s="31"/>
      <c r="KM21" s="31"/>
      <c r="KN21" s="31"/>
      <c r="KO21" s="31"/>
      <c r="KP21" s="31"/>
      <c r="KQ21" s="31"/>
      <c r="KR21" s="31"/>
      <c r="KS21" s="31"/>
      <c r="KT21" s="31"/>
      <c r="KU21" s="31"/>
      <c r="KV21" s="31"/>
      <c r="KW21" s="31"/>
      <c r="KX21" s="31"/>
      <c r="KY21" s="31"/>
      <c r="KZ21" s="31"/>
      <c r="LA21" s="31"/>
      <c r="LB21" s="31"/>
      <c r="LC21" s="31"/>
      <c r="LD21" s="31"/>
      <c r="LE21" s="31"/>
      <c r="LF21" s="31"/>
      <c r="LG21" s="31"/>
      <c r="LH21" s="31"/>
      <c r="LI21" s="31"/>
      <c r="LJ21" s="31"/>
      <c r="LK21" s="31"/>
    </row>
    <row r="22" spans="1:323" s="3" customFormat="1" ht="30" hidden="1" customHeight="1" thickBot="1" x14ac:dyDescent="0.35">
      <c r="A22" s="45"/>
      <c r="B22" s="62" t="s">
        <v>59</v>
      </c>
      <c r="C22" s="55" t="s">
        <v>54</v>
      </c>
      <c r="D22" s="20">
        <v>0</v>
      </c>
      <c r="E22" s="75">
        <v>46083</v>
      </c>
      <c r="F22" s="75">
        <v>46103</v>
      </c>
      <c r="G22" s="14"/>
      <c r="H22" s="14"/>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c r="GG22" s="31"/>
      <c r="GH22" s="31"/>
      <c r="GI22" s="31"/>
      <c r="GJ22" s="31"/>
      <c r="GK22" s="31"/>
      <c r="GL22" s="31"/>
      <c r="GM22" s="31"/>
      <c r="GN22" s="31"/>
      <c r="GO22" s="31"/>
      <c r="GP22" s="31"/>
      <c r="GQ22" s="31"/>
      <c r="GR22" s="31"/>
      <c r="GS22" s="31"/>
      <c r="GT22" s="31"/>
      <c r="GU22" s="31"/>
      <c r="GV22" s="31"/>
      <c r="GW22" s="31"/>
      <c r="GX22" s="31"/>
      <c r="GY22" s="31"/>
      <c r="GZ22" s="31"/>
      <c r="HA22" s="31"/>
      <c r="HB22" s="31"/>
      <c r="HC22" s="31"/>
      <c r="HD22" s="31"/>
      <c r="HE22" s="31"/>
      <c r="HF22" s="31"/>
      <c r="HG22" s="31"/>
      <c r="HH22" s="31"/>
      <c r="HI22" s="31"/>
      <c r="HJ22" s="31"/>
      <c r="HK22" s="31"/>
      <c r="HL22" s="31"/>
      <c r="HM22" s="31"/>
      <c r="HN22" s="31"/>
      <c r="HO22" s="31"/>
      <c r="HP22" s="31"/>
      <c r="HQ22" s="31"/>
      <c r="HR22" s="31"/>
      <c r="HS22" s="31"/>
      <c r="HT22" s="31"/>
      <c r="HU22" s="31"/>
      <c r="HV22" s="31"/>
      <c r="HW22" s="31"/>
      <c r="HX22" s="31"/>
      <c r="HY22" s="31"/>
      <c r="HZ22" s="31"/>
      <c r="IA22" s="31"/>
      <c r="IB22" s="31"/>
      <c r="IC22" s="31"/>
      <c r="ID22" s="31"/>
      <c r="IE22" s="31"/>
      <c r="IF22" s="31"/>
      <c r="IG22" s="31"/>
      <c r="IH22" s="31"/>
      <c r="II22" s="31"/>
      <c r="IJ22" s="31"/>
      <c r="IK22" s="31"/>
      <c r="IL22" s="31"/>
      <c r="IM22" s="31"/>
      <c r="IN22" s="31"/>
      <c r="IO22" s="31"/>
      <c r="IP22" s="31"/>
      <c r="IQ22" s="31"/>
      <c r="IR22" s="31"/>
      <c r="IS22" s="31"/>
      <c r="IT22" s="31"/>
      <c r="IU22" s="31"/>
      <c r="IV22" s="31"/>
      <c r="IW22" s="31"/>
      <c r="IX22" s="31"/>
      <c r="IY22" s="31"/>
      <c r="IZ22" s="31"/>
      <c r="JA22" s="31"/>
      <c r="JB22" s="31"/>
      <c r="JC22" s="31"/>
      <c r="JD22" s="31"/>
      <c r="JE22" s="31"/>
      <c r="JF22" s="31"/>
      <c r="JG22" s="31"/>
      <c r="JH22" s="31"/>
      <c r="JI22" s="31"/>
      <c r="JJ22" s="31"/>
      <c r="JK22" s="31"/>
      <c r="JL22" s="31"/>
      <c r="JM22" s="31"/>
      <c r="JN22" s="31"/>
      <c r="JO22" s="31"/>
      <c r="JP22" s="31"/>
      <c r="JQ22" s="31"/>
      <c r="JR22" s="31"/>
      <c r="JS22" s="31"/>
      <c r="JT22" s="31"/>
      <c r="JU22" s="31"/>
      <c r="JV22" s="31"/>
      <c r="JW22" s="31"/>
      <c r="JX22" s="31"/>
      <c r="JY22" s="31"/>
      <c r="JZ22" s="31"/>
      <c r="KA22" s="31"/>
      <c r="KB22" s="31"/>
      <c r="KC22" s="31"/>
      <c r="KD22" s="31"/>
      <c r="KE22" s="31"/>
      <c r="KF22" s="31"/>
      <c r="KG22" s="31"/>
      <c r="KH22" s="31"/>
      <c r="KI22" s="31"/>
      <c r="KJ22" s="31"/>
      <c r="KK22" s="31"/>
      <c r="KL22" s="31"/>
      <c r="KM22" s="31"/>
      <c r="KN22" s="31"/>
      <c r="KO22" s="31"/>
      <c r="KP22" s="31"/>
      <c r="KQ22" s="31"/>
      <c r="KR22" s="31"/>
      <c r="KS22" s="31"/>
      <c r="KT22" s="31"/>
      <c r="KU22" s="31"/>
      <c r="KV22" s="31"/>
      <c r="KW22" s="31"/>
      <c r="KX22" s="31"/>
      <c r="KY22" s="31"/>
      <c r="KZ22" s="31"/>
      <c r="LA22" s="31"/>
      <c r="LB22" s="31"/>
      <c r="LC22" s="31"/>
      <c r="LD22" s="31"/>
      <c r="LE22" s="31"/>
      <c r="LF22" s="31"/>
      <c r="LG22" s="31"/>
      <c r="LH22" s="31"/>
      <c r="LI22" s="31"/>
      <c r="LJ22" s="31"/>
      <c r="LK22" s="31"/>
    </row>
    <row r="23" spans="1:323" s="3" customFormat="1" ht="30" hidden="1" customHeight="1" thickBot="1" x14ac:dyDescent="0.35">
      <c r="A23" s="45"/>
      <c r="B23" s="62" t="s">
        <v>60</v>
      </c>
      <c r="C23" s="55" t="s">
        <v>54</v>
      </c>
      <c r="D23" s="20">
        <v>0</v>
      </c>
      <c r="E23" s="75">
        <v>46083</v>
      </c>
      <c r="F23" s="75">
        <v>46103</v>
      </c>
      <c r="G23" s="14"/>
      <c r="H23" s="14"/>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c r="HD23" s="31"/>
      <c r="HE23" s="31"/>
      <c r="HF23" s="31"/>
      <c r="HG23" s="31"/>
      <c r="HH23" s="31"/>
      <c r="HI23" s="31"/>
      <c r="HJ23" s="31"/>
      <c r="HK23" s="31"/>
      <c r="HL23" s="31"/>
      <c r="HM23" s="31"/>
      <c r="HN23" s="31"/>
      <c r="HO23" s="31"/>
      <c r="HP23" s="31"/>
      <c r="HQ23" s="31"/>
      <c r="HR23" s="31"/>
      <c r="HS23" s="31"/>
      <c r="HT23" s="31"/>
      <c r="HU23" s="31"/>
      <c r="HV23" s="31"/>
      <c r="HW23" s="31"/>
      <c r="HX23" s="31"/>
      <c r="HY23" s="31"/>
      <c r="HZ23" s="31"/>
      <c r="IA23" s="31"/>
      <c r="IB23" s="31"/>
      <c r="IC23" s="31"/>
      <c r="ID23" s="31"/>
      <c r="IE23" s="31"/>
      <c r="IF23" s="31"/>
      <c r="IG23" s="31"/>
      <c r="IH23" s="31"/>
      <c r="II23" s="31"/>
      <c r="IJ23" s="31"/>
      <c r="IK23" s="31"/>
      <c r="IL23" s="31"/>
      <c r="IM23" s="31"/>
      <c r="IN23" s="31"/>
      <c r="IO23" s="31"/>
      <c r="IP23" s="31"/>
      <c r="IQ23" s="31"/>
      <c r="IR23" s="31"/>
      <c r="IS23" s="31"/>
      <c r="IT23" s="31"/>
      <c r="IU23" s="31"/>
      <c r="IV23" s="31"/>
      <c r="IW23" s="31"/>
      <c r="IX23" s="31"/>
      <c r="IY23" s="31"/>
      <c r="IZ23" s="31"/>
      <c r="JA23" s="31"/>
      <c r="JB23" s="31"/>
      <c r="JC23" s="31"/>
      <c r="JD23" s="31"/>
      <c r="JE23" s="31"/>
      <c r="JF23" s="31"/>
      <c r="JG23" s="31"/>
      <c r="JH23" s="31"/>
      <c r="JI23" s="31"/>
      <c r="JJ23" s="31"/>
      <c r="JK23" s="31"/>
      <c r="JL23" s="31"/>
      <c r="JM23" s="31"/>
      <c r="JN23" s="31"/>
      <c r="JO23" s="31"/>
      <c r="JP23" s="31"/>
      <c r="JQ23" s="31"/>
      <c r="JR23" s="31"/>
      <c r="JS23" s="31"/>
      <c r="JT23" s="31"/>
      <c r="JU23" s="31"/>
      <c r="JV23" s="31"/>
      <c r="JW23" s="31"/>
      <c r="JX23" s="31"/>
      <c r="JY23" s="31"/>
      <c r="JZ23" s="31"/>
      <c r="KA23" s="31"/>
      <c r="KB23" s="31"/>
      <c r="KC23" s="31"/>
      <c r="KD23" s="31"/>
      <c r="KE23" s="31"/>
      <c r="KF23" s="31"/>
      <c r="KG23" s="31"/>
      <c r="KH23" s="31"/>
      <c r="KI23" s="31"/>
      <c r="KJ23" s="31"/>
      <c r="KK23" s="31"/>
      <c r="KL23" s="31"/>
      <c r="KM23" s="31"/>
      <c r="KN23" s="31"/>
      <c r="KO23" s="31"/>
      <c r="KP23" s="31"/>
      <c r="KQ23" s="31"/>
      <c r="KR23" s="31"/>
      <c r="KS23" s="31"/>
      <c r="KT23" s="31"/>
      <c r="KU23" s="31"/>
      <c r="KV23" s="31"/>
      <c r="KW23" s="31"/>
      <c r="KX23" s="31"/>
      <c r="KY23" s="31"/>
      <c r="KZ23" s="31"/>
      <c r="LA23" s="31"/>
      <c r="LB23" s="31"/>
      <c r="LC23" s="31"/>
      <c r="LD23" s="31"/>
      <c r="LE23" s="31"/>
      <c r="LF23" s="31"/>
      <c r="LG23" s="31"/>
      <c r="LH23" s="31"/>
      <c r="LI23" s="31"/>
      <c r="LJ23" s="31"/>
      <c r="LK23" s="31"/>
    </row>
    <row r="24" spans="1:323" s="3" customFormat="1" ht="30" hidden="1" customHeight="1" thickBot="1" x14ac:dyDescent="0.35">
      <c r="A24" s="45" t="s">
        <v>11</v>
      </c>
      <c r="B24" s="21" t="s">
        <v>61</v>
      </c>
      <c r="C24" s="56"/>
      <c r="D24" s="22"/>
      <c r="E24" s="76"/>
      <c r="F24" s="77"/>
      <c r="G24" s="14"/>
      <c r="H24" s="14" t="str">
        <f t="shared" si="166"/>
        <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c r="GG24" s="31"/>
      <c r="GH24" s="31"/>
      <c r="GI24" s="31"/>
      <c r="GJ24" s="31"/>
      <c r="GK24" s="31"/>
      <c r="GL24" s="31"/>
      <c r="GM24" s="31"/>
      <c r="GN24" s="31"/>
      <c r="GO24" s="31"/>
      <c r="GP24" s="31"/>
      <c r="GQ24" s="31"/>
      <c r="GR24" s="31"/>
      <c r="GS24" s="31"/>
      <c r="GT24" s="31"/>
      <c r="GU24" s="31"/>
      <c r="GV24" s="31"/>
      <c r="GW24" s="31"/>
      <c r="GX24" s="31"/>
      <c r="GY24" s="31"/>
      <c r="GZ24" s="31"/>
      <c r="HA24" s="31"/>
      <c r="HB24" s="31"/>
      <c r="HC24" s="31"/>
      <c r="HD24" s="31"/>
      <c r="HE24" s="31"/>
      <c r="HF24" s="31"/>
      <c r="HG24" s="31"/>
      <c r="HH24" s="31"/>
      <c r="HI24" s="31"/>
      <c r="HJ24" s="31"/>
      <c r="HK24" s="31"/>
      <c r="HL24" s="31"/>
      <c r="HM24" s="31"/>
      <c r="HN24" s="31"/>
      <c r="HO24" s="31"/>
      <c r="HP24" s="31"/>
      <c r="HQ24" s="31"/>
      <c r="HR24" s="31"/>
      <c r="HS24" s="31"/>
      <c r="HT24" s="31"/>
      <c r="HU24" s="31"/>
      <c r="HV24" s="31"/>
      <c r="HW24" s="31"/>
      <c r="HX24" s="31"/>
      <c r="HY24" s="31"/>
      <c r="HZ24" s="31"/>
      <c r="IA24" s="31"/>
      <c r="IB24" s="31"/>
      <c r="IC24" s="31"/>
      <c r="ID24" s="31"/>
      <c r="IE24" s="31"/>
      <c r="IF24" s="31"/>
      <c r="IG24" s="31"/>
      <c r="IH24" s="31"/>
      <c r="II24" s="31"/>
      <c r="IJ24" s="31"/>
      <c r="IK24" s="31"/>
      <c r="IL24" s="31"/>
      <c r="IM24" s="31"/>
      <c r="IN24" s="31"/>
      <c r="IO24" s="31"/>
      <c r="IP24" s="31"/>
      <c r="IQ24" s="31"/>
      <c r="IR24" s="31"/>
      <c r="IS24" s="31"/>
      <c r="IT24" s="31"/>
      <c r="IU24" s="31"/>
      <c r="IV24" s="31"/>
      <c r="IW24" s="31"/>
      <c r="IX24" s="31"/>
      <c r="IY24" s="31"/>
      <c r="IZ24" s="31"/>
      <c r="JA24" s="31"/>
      <c r="JB24" s="31"/>
      <c r="JC24" s="31"/>
      <c r="JD24" s="31"/>
      <c r="JE24" s="31"/>
      <c r="JF24" s="31"/>
      <c r="JG24" s="31"/>
      <c r="JH24" s="31"/>
      <c r="JI24" s="31"/>
      <c r="JJ24" s="31"/>
      <c r="JK24" s="31"/>
      <c r="JL24" s="31"/>
      <c r="JM24" s="31"/>
      <c r="JN24" s="31"/>
      <c r="JO24" s="31"/>
      <c r="JP24" s="31"/>
      <c r="JQ24" s="31"/>
      <c r="JR24" s="31"/>
      <c r="JS24" s="31"/>
      <c r="JT24" s="31"/>
      <c r="JU24" s="31"/>
      <c r="JV24" s="31"/>
      <c r="JW24" s="31"/>
      <c r="JX24" s="31"/>
      <c r="JY24" s="31"/>
      <c r="JZ24" s="31"/>
      <c r="KA24" s="31"/>
      <c r="KB24" s="31"/>
      <c r="KC24" s="31"/>
      <c r="KD24" s="31"/>
      <c r="KE24" s="31"/>
      <c r="KF24" s="31"/>
      <c r="KG24" s="31"/>
      <c r="KH24" s="31"/>
      <c r="KI24" s="31"/>
      <c r="KJ24" s="31"/>
      <c r="KK24" s="31"/>
      <c r="KL24" s="31"/>
      <c r="KM24" s="31"/>
      <c r="KN24" s="31"/>
      <c r="KO24" s="31"/>
      <c r="KP24" s="31"/>
      <c r="KQ24" s="31"/>
      <c r="KR24" s="31"/>
      <c r="KS24" s="31"/>
      <c r="KT24" s="31"/>
      <c r="KU24" s="31"/>
      <c r="KV24" s="31"/>
      <c r="KW24" s="31"/>
      <c r="KX24" s="31"/>
      <c r="KY24" s="31"/>
      <c r="KZ24" s="31"/>
      <c r="LA24" s="31"/>
      <c r="LB24" s="31"/>
      <c r="LC24" s="31"/>
      <c r="LD24" s="31"/>
      <c r="LE24" s="31"/>
      <c r="LF24" s="31"/>
      <c r="LG24" s="31"/>
      <c r="LH24" s="31"/>
      <c r="LI24" s="31"/>
      <c r="LJ24" s="31"/>
      <c r="LK24" s="31"/>
    </row>
    <row r="25" spans="1:323" s="3" customFormat="1" ht="30" hidden="1" customHeight="1" thickBot="1" x14ac:dyDescent="0.35">
      <c r="A25" s="45"/>
      <c r="B25" s="63" t="s">
        <v>62</v>
      </c>
      <c r="C25" s="57" t="s">
        <v>54</v>
      </c>
      <c r="D25" s="23">
        <v>0</v>
      </c>
      <c r="E25" s="78">
        <v>46104</v>
      </c>
      <c r="F25" s="78">
        <v>46138</v>
      </c>
      <c r="G25" s="14"/>
      <c r="H25" s="14">
        <f t="shared" si="166"/>
        <v>35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c r="HD25" s="31"/>
      <c r="HE25" s="31"/>
      <c r="HF25" s="31"/>
      <c r="HG25" s="31"/>
      <c r="HH25" s="31"/>
      <c r="HI25" s="31"/>
      <c r="HJ25" s="31"/>
      <c r="HK25" s="31"/>
      <c r="HL25" s="31"/>
      <c r="HM25" s="31"/>
      <c r="HN25" s="31"/>
      <c r="HO25" s="31"/>
      <c r="HP25" s="31"/>
      <c r="HQ25" s="31"/>
      <c r="HR25" s="31"/>
      <c r="HS25" s="31"/>
      <c r="HT25" s="31"/>
      <c r="HU25" s="31"/>
      <c r="HV25" s="31"/>
      <c r="HW25" s="31"/>
      <c r="HX25" s="31"/>
      <c r="HY25" s="31"/>
      <c r="HZ25" s="31"/>
      <c r="IA25" s="31"/>
      <c r="IB25" s="31"/>
      <c r="IC25" s="31"/>
      <c r="ID25" s="31"/>
      <c r="IE25" s="31"/>
      <c r="IF25" s="31"/>
      <c r="IG25" s="31"/>
      <c r="IH25" s="31"/>
      <c r="II25" s="31"/>
      <c r="IJ25" s="31"/>
      <c r="IK25" s="31"/>
      <c r="IL25" s="31"/>
      <c r="IM25" s="31"/>
      <c r="IN25" s="31"/>
      <c r="IO25" s="31"/>
      <c r="IP25" s="31"/>
      <c r="IQ25" s="31"/>
      <c r="IR25" s="31"/>
      <c r="IS25" s="31"/>
      <c r="IT25" s="31"/>
      <c r="IU25" s="31"/>
      <c r="IV25" s="31"/>
      <c r="IW25" s="31"/>
      <c r="IX25" s="31"/>
      <c r="IY25" s="31"/>
      <c r="IZ25" s="31"/>
      <c r="JA25" s="31"/>
      <c r="JB25" s="31"/>
      <c r="JC25" s="31"/>
      <c r="JD25" s="31"/>
      <c r="JE25" s="31"/>
      <c r="JF25" s="31"/>
      <c r="JG25" s="31"/>
      <c r="JH25" s="31"/>
      <c r="JI25" s="31"/>
      <c r="JJ25" s="31"/>
      <c r="JK25" s="31"/>
      <c r="JL25" s="31"/>
      <c r="JM25" s="31"/>
      <c r="JN25" s="31"/>
      <c r="JO25" s="31"/>
      <c r="JP25" s="31"/>
      <c r="JQ25" s="31"/>
      <c r="JR25" s="31"/>
      <c r="JS25" s="31"/>
      <c r="JT25" s="31"/>
      <c r="JU25" s="31"/>
      <c r="JV25" s="31"/>
      <c r="JW25" s="31"/>
      <c r="JX25" s="31"/>
      <c r="JY25" s="31"/>
      <c r="JZ25" s="31"/>
      <c r="KA25" s="31"/>
      <c r="KB25" s="31"/>
      <c r="KC25" s="31"/>
      <c r="KD25" s="31"/>
      <c r="KE25" s="31"/>
      <c r="KF25" s="31"/>
      <c r="KG25" s="31"/>
      <c r="KH25" s="31"/>
      <c r="KI25" s="31"/>
      <c r="KJ25" s="31"/>
      <c r="KK25" s="31"/>
      <c r="KL25" s="31"/>
      <c r="KM25" s="31"/>
      <c r="KN25" s="31"/>
      <c r="KO25" s="31"/>
      <c r="KP25" s="31"/>
      <c r="KQ25" s="31"/>
      <c r="KR25" s="31"/>
      <c r="KS25" s="31"/>
      <c r="KT25" s="31"/>
      <c r="KU25" s="31"/>
      <c r="KV25" s="31"/>
      <c r="KW25" s="31"/>
      <c r="KX25" s="31"/>
      <c r="KY25" s="31"/>
      <c r="KZ25" s="31"/>
      <c r="LA25" s="31"/>
      <c r="LB25" s="31"/>
      <c r="LC25" s="31"/>
      <c r="LD25" s="31"/>
      <c r="LE25" s="31"/>
      <c r="LF25" s="31"/>
      <c r="LG25" s="31"/>
      <c r="LH25" s="31"/>
      <c r="LI25" s="31"/>
      <c r="LJ25" s="31"/>
      <c r="LK25" s="31"/>
    </row>
    <row r="26" spans="1:323" s="3" customFormat="1" ht="30" hidden="1" customHeight="1" thickBot="1" x14ac:dyDescent="0.35">
      <c r="A26" s="45"/>
      <c r="B26" s="63" t="s">
        <v>63</v>
      </c>
      <c r="C26" s="57" t="s">
        <v>54</v>
      </c>
      <c r="D26" s="23">
        <v>0</v>
      </c>
      <c r="E26" s="78">
        <v>46104</v>
      </c>
      <c r="F26" s="78">
        <v>46138</v>
      </c>
      <c r="G26" s="14"/>
      <c r="H26" s="14">
        <f t="shared" si="166"/>
        <v>35</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c r="GG26" s="31"/>
      <c r="GH26" s="31"/>
      <c r="GI26" s="31"/>
      <c r="GJ26" s="31"/>
      <c r="GK26" s="31"/>
      <c r="GL26" s="31"/>
      <c r="GM26" s="31"/>
      <c r="GN26" s="31"/>
      <c r="GO26" s="31"/>
      <c r="GP26" s="31"/>
      <c r="GQ26" s="31"/>
      <c r="GR26" s="31"/>
      <c r="GS26" s="31"/>
      <c r="GT26" s="31"/>
      <c r="GU26" s="31"/>
      <c r="GV26" s="31"/>
      <c r="GW26" s="31"/>
      <c r="GX26" s="31"/>
      <c r="GY26" s="31"/>
      <c r="GZ26" s="31"/>
      <c r="HA26" s="31"/>
      <c r="HB26" s="31"/>
      <c r="HC26" s="31"/>
      <c r="HD26" s="31"/>
      <c r="HE26" s="31"/>
      <c r="HF26" s="31"/>
      <c r="HG26" s="31"/>
      <c r="HH26" s="31"/>
      <c r="HI26" s="31"/>
      <c r="HJ26" s="31"/>
      <c r="HK26" s="31"/>
      <c r="HL26" s="31"/>
      <c r="HM26" s="31"/>
      <c r="HN26" s="31"/>
      <c r="HO26" s="31"/>
      <c r="HP26" s="31"/>
      <c r="HQ26" s="31"/>
      <c r="HR26" s="31"/>
      <c r="HS26" s="31"/>
      <c r="HT26" s="31"/>
      <c r="HU26" s="31"/>
      <c r="HV26" s="31"/>
      <c r="HW26" s="31"/>
      <c r="HX26" s="31"/>
      <c r="HY26" s="31"/>
      <c r="HZ26" s="31"/>
      <c r="IA26" s="31"/>
      <c r="IB26" s="31"/>
      <c r="IC26" s="31"/>
      <c r="ID26" s="31"/>
      <c r="IE26" s="31"/>
      <c r="IF26" s="31"/>
      <c r="IG26" s="31"/>
      <c r="IH26" s="31"/>
      <c r="II26" s="31"/>
      <c r="IJ26" s="31"/>
      <c r="IK26" s="31"/>
      <c r="IL26" s="31"/>
      <c r="IM26" s="31"/>
      <c r="IN26" s="31"/>
      <c r="IO26" s="31"/>
      <c r="IP26" s="31"/>
      <c r="IQ26" s="31"/>
      <c r="IR26" s="31"/>
      <c r="IS26" s="31"/>
      <c r="IT26" s="31"/>
      <c r="IU26" s="31"/>
      <c r="IV26" s="31"/>
      <c r="IW26" s="31"/>
      <c r="IX26" s="31"/>
      <c r="IY26" s="31"/>
      <c r="IZ26" s="31"/>
      <c r="JA26" s="31"/>
      <c r="JB26" s="31"/>
      <c r="JC26" s="31"/>
      <c r="JD26" s="31"/>
      <c r="JE26" s="31"/>
      <c r="JF26" s="31"/>
      <c r="JG26" s="31"/>
      <c r="JH26" s="31"/>
      <c r="JI26" s="31"/>
      <c r="JJ26" s="31"/>
      <c r="JK26" s="31"/>
      <c r="JL26" s="31"/>
      <c r="JM26" s="31"/>
      <c r="JN26" s="31"/>
      <c r="JO26" s="31"/>
      <c r="JP26" s="31"/>
      <c r="JQ26" s="31"/>
      <c r="JR26" s="31"/>
      <c r="JS26" s="31"/>
      <c r="JT26" s="31"/>
      <c r="JU26" s="31"/>
      <c r="JV26" s="31"/>
      <c r="JW26" s="31"/>
      <c r="JX26" s="31"/>
      <c r="JY26" s="31"/>
      <c r="JZ26" s="31"/>
      <c r="KA26" s="31"/>
      <c r="KB26" s="31"/>
      <c r="KC26" s="31"/>
      <c r="KD26" s="31"/>
      <c r="KE26" s="31"/>
      <c r="KF26" s="31"/>
      <c r="KG26" s="31"/>
      <c r="KH26" s="31"/>
      <c r="KI26" s="31"/>
      <c r="KJ26" s="31"/>
      <c r="KK26" s="31"/>
      <c r="KL26" s="31"/>
      <c r="KM26" s="31"/>
      <c r="KN26" s="31"/>
      <c r="KO26" s="31"/>
      <c r="KP26" s="31"/>
      <c r="KQ26" s="31"/>
      <c r="KR26" s="31"/>
      <c r="KS26" s="31"/>
      <c r="KT26" s="31"/>
      <c r="KU26" s="31"/>
      <c r="KV26" s="31"/>
      <c r="KW26" s="31"/>
      <c r="KX26" s="31"/>
      <c r="KY26" s="31"/>
      <c r="KZ26" s="31"/>
      <c r="LA26" s="31"/>
      <c r="LB26" s="31"/>
      <c r="LC26" s="31"/>
      <c r="LD26" s="31"/>
      <c r="LE26" s="31"/>
      <c r="LF26" s="31"/>
      <c r="LG26" s="31"/>
      <c r="LH26" s="31"/>
      <c r="LI26" s="31"/>
      <c r="LJ26" s="31"/>
      <c r="LK26" s="31"/>
    </row>
    <row r="27" spans="1:323" s="3" customFormat="1" ht="30" hidden="1" customHeight="1" thickBot="1" x14ac:dyDescent="0.35">
      <c r="A27" s="45"/>
      <c r="B27" s="63" t="s">
        <v>64</v>
      </c>
      <c r="C27" s="57" t="s">
        <v>54</v>
      </c>
      <c r="D27" s="23">
        <v>0</v>
      </c>
      <c r="E27" s="78">
        <v>46104</v>
      </c>
      <c r="F27" s="78">
        <v>46138</v>
      </c>
      <c r="G27" s="14"/>
      <c r="H27" s="14">
        <f t="shared" si="166"/>
        <v>35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c r="HX27" s="31"/>
      <c r="HY27" s="31"/>
      <c r="HZ27" s="31"/>
      <c r="IA27" s="31"/>
      <c r="IB27" s="31"/>
      <c r="IC27" s="31"/>
      <c r="ID27" s="31"/>
      <c r="IE27" s="31"/>
      <c r="IF27" s="31"/>
      <c r="IG27" s="31"/>
      <c r="IH27" s="31"/>
      <c r="II27" s="31"/>
      <c r="IJ27" s="31"/>
      <c r="IK27" s="31"/>
      <c r="IL27" s="31"/>
      <c r="IM27" s="31"/>
      <c r="IN27" s="31"/>
      <c r="IO27" s="31"/>
      <c r="IP27" s="31"/>
      <c r="IQ27" s="31"/>
      <c r="IR27" s="31"/>
      <c r="IS27" s="31"/>
      <c r="IT27" s="31"/>
      <c r="IU27" s="31"/>
      <c r="IV27" s="31"/>
      <c r="IW27" s="31"/>
      <c r="IX27" s="31"/>
      <c r="IY27" s="31"/>
      <c r="IZ27" s="31"/>
      <c r="JA27" s="31"/>
      <c r="JB27" s="31"/>
      <c r="JC27" s="31"/>
      <c r="JD27" s="31"/>
      <c r="JE27" s="31"/>
      <c r="JF27" s="31"/>
      <c r="JG27" s="31"/>
      <c r="JH27" s="31"/>
      <c r="JI27" s="31"/>
      <c r="JJ27" s="31"/>
      <c r="JK27" s="31"/>
      <c r="JL27" s="31"/>
      <c r="JM27" s="31"/>
      <c r="JN27" s="31"/>
      <c r="JO27" s="31"/>
      <c r="JP27" s="31"/>
      <c r="JQ27" s="31"/>
      <c r="JR27" s="31"/>
      <c r="JS27" s="31"/>
      <c r="JT27" s="31"/>
      <c r="JU27" s="31"/>
      <c r="JV27" s="31"/>
      <c r="JW27" s="31"/>
      <c r="JX27" s="31"/>
      <c r="JY27" s="31"/>
      <c r="JZ27" s="31"/>
      <c r="KA27" s="31"/>
      <c r="KB27" s="31"/>
      <c r="KC27" s="31"/>
      <c r="KD27" s="31"/>
      <c r="KE27" s="31"/>
      <c r="KF27" s="31"/>
      <c r="KG27" s="31"/>
      <c r="KH27" s="31"/>
      <c r="KI27" s="31"/>
      <c r="KJ27" s="31"/>
      <c r="KK27" s="31"/>
      <c r="KL27" s="31"/>
      <c r="KM27" s="31"/>
      <c r="KN27" s="31"/>
      <c r="KO27" s="31"/>
      <c r="KP27" s="31"/>
      <c r="KQ27" s="31"/>
      <c r="KR27" s="31"/>
      <c r="KS27" s="31"/>
      <c r="KT27" s="31"/>
      <c r="KU27" s="31"/>
      <c r="KV27" s="31"/>
      <c r="KW27" s="31"/>
      <c r="KX27" s="31"/>
      <c r="KY27" s="31"/>
      <c r="KZ27" s="31"/>
      <c r="LA27" s="31"/>
      <c r="LB27" s="31"/>
      <c r="LC27" s="31"/>
      <c r="LD27" s="31"/>
      <c r="LE27" s="31"/>
      <c r="LF27" s="31"/>
      <c r="LG27" s="31"/>
      <c r="LH27" s="31"/>
      <c r="LI27" s="31"/>
      <c r="LJ27" s="31"/>
      <c r="LK27" s="31"/>
    </row>
    <row r="28" spans="1:323" s="3" customFormat="1" ht="30" hidden="1" customHeight="1" thickBot="1" x14ac:dyDescent="0.35">
      <c r="A28" s="45"/>
      <c r="B28" s="63" t="s">
        <v>65</v>
      </c>
      <c r="C28" s="57" t="s">
        <v>54</v>
      </c>
      <c r="D28" s="23">
        <v>0</v>
      </c>
      <c r="E28" s="78">
        <v>46104</v>
      </c>
      <c r="F28" s="78">
        <v>46138</v>
      </c>
      <c r="G28" s="14"/>
      <c r="H28" s="14">
        <f t="shared" si="166"/>
        <v>35</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c r="HD28" s="31"/>
      <c r="HE28" s="31"/>
      <c r="HF28" s="31"/>
      <c r="HG28" s="31"/>
      <c r="HH28" s="31"/>
      <c r="HI28" s="31"/>
      <c r="HJ28" s="31"/>
      <c r="HK28" s="31"/>
      <c r="HL28" s="31"/>
      <c r="HM28" s="31"/>
      <c r="HN28" s="31"/>
      <c r="HO28" s="31"/>
      <c r="HP28" s="31"/>
      <c r="HQ28" s="31"/>
      <c r="HR28" s="31"/>
      <c r="HS28" s="31"/>
      <c r="HT28" s="31"/>
      <c r="HU28" s="31"/>
      <c r="HV28" s="31"/>
      <c r="HW28" s="31"/>
      <c r="HX28" s="31"/>
      <c r="HY28" s="31"/>
      <c r="HZ28" s="31"/>
      <c r="IA28" s="31"/>
      <c r="IB28" s="31"/>
      <c r="IC28" s="31"/>
      <c r="ID28" s="31"/>
      <c r="IE28" s="31"/>
      <c r="IF28" s="31"/>
      <c r="IG28" s="31"/>
      <c r="IH28" s="31"/>
      <c r="II28" s="31"/>
      <c r="IJ28" s="31"/>
      <c r="IK28" s="31"/>
      <c r="IL28" s="31"/>
      <c r="IM28" s="31"/>
      <c r="IN28" s="31"/>
      <c r="IO28" s="31"/>
      <c r="IP28" s="31"/>
      <c r="IQ28" s="31"/>
      <c r="IR28" s="31"/>
      <c r="IS28" s="31"/>
      <c r="IT28" s="31"/>
      <c r="IU28" s="31"/>
      <c r="IV28" s="31"/>
      <c r="IW28" s="31"/>
      <c r="IX28" s="31"/>
      <c r="IY28" s="31"/>
      <c r="IZ28" s="31"/>
      <c r="JA28" s="31"/>
      <c r="JB28" s="31"/>
      <c r="JC28" s="31"/>
      <c r="JD28" s="31"/>
      <c r="JE28" s="31"/>
      <c r="JF28" s="31"/>
      <c r="JG28" s="31"/>
      <c r="JH28" s="31"/>
      <c r="JI28" s="31"/>
      <c r="JJ28" s="31"/>
      <c r="JK28" s="31"/>
      <c r="JL28" s="31"/>
      <c r="JM28" s="31"/>
      <c r="JN28" s="31"/>
      <c r="JO28" s="31"/>
      <c r="JP28" s="31"/>
      <c r="JQ28" s="31"/>
      <c r="JR28" s="31"/>
      <c r="JS28" s="31"/>
      <c r="JT28" s="31"/>
      <c r="JU28" s="31"/>
      <c r="JV28" s="31"/>
      <c r="JW28" s="31"/>
      <c r="JX28" s="31"/>
      <c r="JY28" s="31"/>
      <c r="JZ28" s="31"/>
      <c r="KA28" s="31"/>
      <c r="KB28" s="31"/>
      <c r="KC28" s="31"/>
      <c r="KD28" s="31"/>
      <c r="KE28" s="31"/>
      <c r="KF28" s="31"/>
      <c r="KG28" s="31"/>
      <c r="KH28" s="31"/>
      <c r="KI28" s="31"/>
      <c r="KJ28" s="31"/>
      <c r="KK28" s="31"/>
      <c r="KL28" s="31"/>
      <c r="KM28" s="31"/>
      <c r="KN28" s="31"/>
      <c r="KO28" s="31"/>
      <c r="KP28" s="31"/>
      <c r="KQ28" s="31"/>
      <c r="KR28" s="31"/>
      <c r="KS28" s="31"/>
      <c r="KT28" s="31"/>
      <c r="KU28" s="31"/>
      <c r="KV28" s="31"/>
      <c r="KW28" s="31"/>
      <c r="KX28" s="31"/>
      <c r="KY28" s="31"/>
      <c r="KZ28" s="31"/>
      <c r="LA28" s="31"/>
      <c r="LB28" s="31"/>
      <c r="LC28" s="31"/>
      <c r="LD28" s="31"/>
      <c r="LE28" s="31"/>
      <c r="LF28" s="31"/>
      <c r="LG28" s="31"/>
      <c r="LH28" s="31"/>
      <c r="LI28" s="31"/>
      <c r="LJ28" s="31"/>
      <c r="LK28" s="31"/>
    </row>
    <row r="29" spans="1:323" s="3" customFormat="1" ht="30" hidden="1" customHeight="1" thickBot="1" x14ac:dyDescent="0.35">
      <c r="A29" s="45" t="s">
        <v>11</v>
      </c>
      <c r="B29" s="24" t="s">
        <v>66</v>
      </c>
      <c r="C29" s="58"/>
      <c r="D29" s="25"/>
      <c r="E29" s="79"/>
      <c r="F29" s="80"/>
      <c r="G29" s="14"/>
      <c r="H29" s="14" t="str">
        <f t="shared" si="166"/>
        <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c r="HX29" s="31"/>
      <c r="HY29" s="31"/>
      <c r="HZ29" s="31"/>
      <c r="IA29" s="31"/>
      <c r="IB29" s="31"/>
      <c r="IC29" s="31"/>
      <c r="ID29" s="31"/>
      <c r="IE29" s="31"/>
      <c r="IF29" s="31"/>
      <c r="IG29" s="31"/>
      <c r="IH29" s="31"/>
      <c r="II29" s="31"/>
      <c r="IJ29" s="31"/>
      <c r="IK29" s="31"/>
      <c r="IL29" s="31"/>
      <c r="IM29" s="31"/>
      <c r="IN29" s="31"/>
      <c r="IO29" s="31"/>
      <c r="IP29" s="31"/>
      <c r="IQ29" s="31"/>
      <c r="IR29" s="31"/>
      <c r="IS29" s="31"/>
      <c r="IT29" s="31"/>
      <c r="IU29" s="31"/>
      <c r="IV29" s="31"/>
      <c r="IW29" s="31"/>
      <c r="IX29" s="31"/>
      <c r="IY29" s="31"/>
      <c r="IZ29" s="31"/>
      <c r="JA29" s="31"/>
      <c r="JB29" s="31"/>
      <c r="JC29" s="31"/>
      <c r="JD29" s="31"/>
      <c r="JE29" s="31"/>
      <c r="JF29" s="31"/>
      <c r="JG29" s="31"/>
      <c r="JH29" s="31"/>
      <c r="JI29" s="31"/>
      <c r="JJ29" s="31"/>
      <c r="JK29" s="31"/>
      <c r="JL29" s="31"/>
      <c r="JM29" s="31"/>
      <c r="JN29" s="31"/>
      <c r="JO29" s="31"/>
      <c r="JP29" s="31"/>
      <c r="JQ29" s="31"/>
      <c r="JR29" s="31"/>
      <c r="JS29" s="31"/>
      <c r="JT29" s="31"/>
      <c r="JU29" s="31"/>
      <c r="JV29" s="31"/>
      <c r="JW29" s="31"/>
      <c r="JX29" s="31"/>
      <c r="JY29" s="31"/>
      <c r="JZ29" s="31"/>
      <c r="KA29" s="31"/>
      <c r="KB29" s="31"/>
      <c r="KC29" s="31"/>
      <c r="KD29" s="31"/>
      <c r="KE29" s="31"/>
      <c r="KF29" s="31"/>
      <c r="KG29" s="31"/>
      <c r="KH29" s="31"/>
      <c r="KI29" s="31"/>
      <c r="KJ29" s="31"/>
      <c r="KK29" s="31"/>
      <c r="KL29" s="31"/>
      <c r="KM29" s="31"/>
      <c r="KN29" s="31"/>
      <c r="KO29" s="31"/>
      <c r="KP29" s="31"/>
      <c r="KQ29" s="31"/>
      <c r="KR29" s="31"/>
      <c r="KS29" s="31"/>
      <c r="KT29" s="31"/>
      <c r="KU29" s="31"/>
      <c r="KV29" s="31"/>
      <c r="KW29" s="31"/>
      <c r="KX29" s="31"/>
      <c r="KY29" s="31"/>
      <c r="KZ29" s="31"/>
      <c r="LA29" s="31"/>
      <c r="LB29" s="31"/>
      <c r="LC29" s="31"/>
      <c r="LD29" s="31"/>
      <c r="LE29" s="31"/>
      <c r="LF29" s="31"/>
      <c r="LG29" s="31"/>
      <c r="LH29" s="31"/>
      <c r="LI29" s="31"/>
      <c r="LJ29" s="31"/>
      <c r="LK29" s="31"/>
    </row>
    <row r="30" spans="1:323" s="3" customFormat="1" ht="30" hidden="1" customHeight="1" thickBot="1" x14ac:dyDescent="0.35">
      <c r="A30" s="45"/>
      <c r="B30" s="64" t="s">
        <v>67</v>
      </c>
      <c r="C30" s="59" t="s">
        <v>54</v>
      </c>
      <c r="D30" s="26">
        <v>0</v>
      </c>
      <c r="E30" s="81">
        <v>46139</v>
      </c>
      <c r="F30" s="81">
        <v>46145</v>
      </c>
      <c r="G30" s="14"/>
      <c r="H30" s="14">
        <f t="shared" si="166"/>
        <v>7</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c r="GG30" s="31"/>
      <c r="GH30" s="31"/>
      <c r="GI30" s="31"/>
      <c r="GJ30" s="31"/>
      <c r="GK30" s="31"/>
      <c r="GL30" s="31"/>
      <c r="GM30" s="31"/>
      <c r="GN30" s="31"/>
      <c r="GO30" s="31"/>
      <c r="GP30" s="31"/>
      <c r="GQ30" s="31"/>
      <c r="GR30" s="31"/>
      <c r="GS30" s="31"/>
      <c r="GT30" s="31"/>
      <c r="GU30" s="31"/>
      <c r="GV30" s="31"/>
      <c r="GW30" s="31"/>
      <c r="GX30" s="31"/>
      <c r="GY30" s="31"/>
      <c r="GZ30" s="31"/>
      <c r="HA30" s="31"/>
      <c r="HB30" s="31"/>
      <c r="HC30" s="31"/>
      <c r="HD30" s="31"/>
      <c r="HE30" s="31"/>
      <c r="HF30" s="31"/>
      <c r="HG30" s="31"/>
      <c r="HH30" s="31"/>
      <c r="HI30" s="31"/>
      <c r="HJ30" s="31"/>
      <c r="HK30" s="31"/>
      <c r="HL30" s="31"/>
      <c r="HM30" s="31"/>
      <c r="HN30" s="31"/>
      <c r="HO30" s="31"/>
      <c r="HP30" s="31"/>
      <c r="HQ30" s="31"/>
      <c r="HR30" s="31"/>
      <c r="HS30" s="31"/>
      <c r="HT30" s="31"/>
      <c r="HU30" s="31"/>
      <c r="HV30" s="31"/>
      <c r="HW30" s="31"/>
      <c r="HX30" s="31"/>
      <c r="HY30" s="31"/>
      <c r="HZ30" s="31"/>
      <c r="IA30" s="31"/>
      <c r="IB30" s="31"/>
      <c r="IC30" s="31"/>
      <c r="ID30" s="31"/>
      <c r="IE30" s="31"/>
      <c r="IF30" s="31"/>
      <c r="IG30" s="31"/>
      <c r="IH30" s="31"/>
      <c r="II30" s="31"/>
      <c r="IJ30" s="31"/>
      <c r="IK30" s="31"/>
      <c r="IL30" s="31"/>
      <c r="IM30" s="31"/>
      <c r="IN30" s="31"/>
      <c r="IO30" s="31"/>
      <c r="IP30" s="31"/>
      <c r="IQ30" s="31"/>
      <c r="IR30" s="31"/>
      <c r="IS30" s="31"/>
      <c r="IT30" s="31"/>
      <c r="IU30" s="31"/>
      <c r="IV30" s="31"/>
      <c r="IW30" s="31"/>
      <c r="IX30" s="31"/>
      <c r="IY30" s="31"/>
      <c r="IZ30" s="31"/>
      <c r="JA30" s="31"/>
      <c r="JB30" s="31"/>
      <c r="JC30" s="31"/>
      <c r="JD30" s="31"/>
      <c r="JE30" s="31"/>
      <c r="JF30" s="31"/>
      <c r="JG30" s="31"/>
      <c r="JH30" s="31"/>
      <c r="JI30" s="31"/>
      <c r="JJ30" s="31"/>
      <c r="JK30" s="31"/>
      <c r="JL30" s="31"/>
      <c r="JM30" s="31"/>
      <c r="JN30" s="31"/>
      <c r="JO30" s="31"/>
      <c r="JP30" s="31"/>
      <c r="JQ30" s="31"/>
      <c r="JR30" s="31"/>
      <c r="JS30" s="31"/>
      <c r="JT30" s="31"/>
      <c r="JU30" s="31"/>
      <c r="JV30" s="31"/>
      <c r="JW30" s="31"/>
      <c r="JX30" s="31"/>
      <c r="JY30" s="31"/>
      <c r="JZ30" s="31"/>
      <c r="KA30" s="31"/>
      <c r="KB30" s="31"/>
      <c r="KC30" s="31"/>
      <c r="KD30" s="31"/>
      <c r="KE30" s="31"/>
      <c r="KF30" s="31"/>
      <c r="KG30" s="31"/>
      <c r="KH30" s="31"/>
      <c r="KI30" s="31"/>
      <c r="KJ30" s="31"/>
      <c r="KK30" s="31"/>
      <c r="KL30" s="31"/>
      <c r="KM30" s="31"/>
      <c r="KN30" s="31"/>
      <c r="KO30" s="31"/>
      <c r="KP30" s="31"/>
      <c r="KQ30" s="31"/>
      <c r="KR30" s="31"/>
      <c r="KS30" s="31"/>
      <c r="KT30" s="31"/>
      <c r="KU30" s="31"/>
      <c r="KV30" s="31"/>
      <c r="KW30" s="31"/>
      <c r="KX30" s="31"/>
      <c r="KY30" s="31"/>
      <c r="KZ30" s="31"/>
      <c r="LA30" s="31"/>
      <c r="LB30" s="31"/>
      <c r="LC30" s="31"/>
      <c r="LD30" s="31"/>
      <c r="LE30" s="31"/>
      <c r="LF30" s="31"/>
      <c r="LG30" s="31"/>
      <c r="LH30" s="31"/>
      <c r="LI30" s="31"/>
      <c r="LJ30" s="31"/>
      <c r="LK30" s="31"/>
    </row>
    <row r="31" spans="1:323" s="3" customFormat="1" ht="30" hidden="1" customHeight="1" thickBot="1" x14ac:dyDescent="0.35">
      <c r="A31" s="45"/>
      <c r="B31" s="64" t="s">
        <v>68</v>
      </c>
      <c r="C31" s="59" t="s">
        <v>54</v>
      </c>
      <c r="D31" s="26">
        <v>0</v>
      </c>
      <c r="E31" s="81">
        <v>46139</v>
      </c>
      <c r="F31" s="81">
        <v>46145</v>
      </c>
      <c r="G31" s="14"/>
      <c r="H31" s="14">
        <f t="shared" si="166"/>
        <v>7</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c r="IF31" s="31"/>
      <c r="IG31" s="31"/>
      <c r="IH31" s="31"/>
      <c r="II31" s="31"/>
      <c r="IJ31" s="31"/>
      <c r="IK31" s="31"/>
      <c r="IL31" s="31"/>
      <c r="IM31" s="31"/>
      <c r="IN31" s="31"/>
      <c r="IO31" s="31"/>
      <c r="IP31" s="31"/>
      <c r="IQ31" s="31"/>
      <c r="IR31" s="31"/>
      <c r="IS31" s="31"/>
      <c r="IT31" s="31"/>
      <c r="IU31" s="31"/>
      <c r="IV31" s="31"/>
      <c r="IW31" s="31"/>
      <c r="IX31" s="31"/>
      <c r="IY31" s="31"/>
      <c r="IZ31" s="31"/>
      <c r="JA31" s="31"/>
      <c r="JB31" s="31"/>
      <c r="JC31" s="31"/>
      <c r="JD31" s="31"/>
      <c r="JE31" s="31"/>
      <c r="JF31" s="31"/>
      <c r="JG31" s="31"/>
      <c r="JH31" s="31"/>
      <c r="JI31" s="31"/>
      <c r="JJ31" s="31"/>
      <c r="JK31" s="31"/>
      <c r="JL31" s="31"/>
      <c r="JM31" s="31"/>
      <c r="JN31" s="31"/>
      <c r="JO31" s="31"/>
      <c r="JP31" s="31"/>
      <c r="JQ31" s="31"/>
      <c r="JR31" s="31"/>
      <c r="JS31" s="31"/>
      <c r="JT31" s="31"/>
      <c r="JU31" s="31"/>
      <c r="JV31" s="31"/>
      <c r="JW31" s="31"/>
      <c r="JX31" s="31"/>
      <c r="JY31" s="31"/>
      <c r="JZ31" s="31"/>
      <c r="KA31" s="31"/>
      <c r="KB31" s="31"/>
      <c r="KC31" s="31"/>
      <c r="KD31" s="31"/>
      <c r="KE31" s="31"/>
      <c r="KF31" s="31"/>
      <c r="KG31" s="31"/>
      <c r="KH31" s="31"/>
      <c r="KI31" s="31"/>
      <c r="KJ31" s="31"/>
      <c r="KK31" s="31"/>
      <c r="KL31" s="31"/>
      <c r="KM31" s="31"/>
      <c r="KN31" s="31"/>
      <c r="KO31" s="31"/>
      <c r="KP31" s="31"/>
      <c r="KQ31" s="31"/>
      <c r="KR31" s="31"/>
      <c r="KS31" s="31"/>
      <c r="KT31" s="31"/>
      <c r="KU31" s="31"/>
      <c r="KV31" s="31"/>
      <c r="KW31" s="31"/>
      <c r="KX31" s="31"/>
      <c r="KY31" s="31"/>
      <c r="KZ31" s="31"/>
      <c r="LA31" s="31"/>
      <c r="LB31" s="31"/>
      <c r="LC31" s="31"/>
      <c r="LD31" s="31"/>
      <c r="LE31" s="31"/>
      <c r="LF31" s="31"/>
      <c r="LG31" s="31"/>
      <c r="LH31" s="31"/>
      <c r="LI31" s="31"/>
      <c r="LJ31" s="31"/>
      <c r="LK31" s="31"/>
    </row>
    <row r="32" spans="1:323" s="3" customFormat="1" ht="30" hidden="1" customHeight="1" thickBot="1" x14ac:dyDescent="0.35">
      <c r="A32" s="45"/>
      <c r="B32" s="64" t="s">
        <v>69</v>
      </c>
      <c r="C32" s="59" t="s">
        <v>54</v>
      </c>
      <c r="D32" s="26">
        <v>0</v>
      </c>
      <c r="E32" s="81">
        <v>46139</v>
      </c>
      <c r="F32" s="81">
        <v>46145</v>
      </c>
      <c r="G32" s="14"/>
      <c r="H32" s="14">
        <f t="shared" si="166"/>
        <v>7</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1"/>
      <c r="EH32" s="31"/>
      <c r="EI32" s="31"/>
      <c r="EJ32" s="31"/>
      <c r="EK32" s="31"/>
      <c r="EL32" s="31"/>
      <c r="EM32" s="31"/>
      <c r="EN32" s="31"/>
      <c r="EO32" s="31"/>
      <c r="EP32" s="31"/>
      <c r="EQ32" s="31"/>
      <c r="ER32" s="31"/>
      <c r="ES32" s="31"/>
      <c r="ET32" s="31"/>
      <c r="EU32" s="31"/>
      <c r="EV32" s="31"/>
      <c r="EW32" s="31"/>
      <c r="EX32" s="31"/>
      <c r="EY32" s="31"/>
      <c r="EZ32" s="31"/>
      <c r="FA32" s="31"/>
      <c r="FB32" s="31"/>
      <c r="FC32" s="31"/>
      <c r="FD32" s="31"/>
      <c r="FE32" s="31"/>
      <c r="FF32" s="31"/>
      <c r="FG32" s="31"/>
      <c r="FH32" s="31"/>
      <c r="FI32" s="31"/>
      <c r="FJ32" s="31"/>
      <c r="FK32" s="31"/>
      <c r="FL32" s="31"/>
      <c r="FM32" s="31"/>
      <c r="FN32" s="31"/>
      <c r="FO32" s="31"/>
      <c r="FP32" s="31"/>
      <c r="FQ32" s="31"/>
      <c r="FR32" s="31"/>
      <c r="FS32" s="31"/>
      <c r="FT32" s="31"/>
      <c r="FU32" s="31"/>
      <c r="FV32" s="31"/>
      <c r="FW32" s="31"/>
      <c r="FX32" s="31"/>
      <c r="FY32" s="31"/>
      <c r="FZ32" s="31"/>
      <c r="GA32" s="31"/>
      <c r="GB32" s="31"/>
      <c r="GC32" s="31"/>
      <c r="GD32" s="31"/>
      <c r="GE32" s="31"/>
      <c r="GF32" s="31"/>
      <c r="GG32" s="31"/>
      <c r="GH32" s="31"/>
      <c r="GI32" s="31"/>
      <c r="GJ32" s="31"/>
      <c r="GK32" s="31"/>
      <c r="GL32" s="31"/>
      <c r="GM32" s="31"/>
      <c r="GN32" s="31"/>
      <c r="GO32" s="31"/>
      <c r="GP32" s="31"/>
      <c r="GQ32" s="31"/>
      <c r="GR32" s="31"/>
      <c r="GS32" s="31"/>
      <c r="GT32" s="31"/>
      <c r="GU32" s="31"/>
      <c r="GV32" s="31"/>
      <c r="GW32" s="31"/>
      <c r="GX32" s="31"/>
      <c r="GY32" s="31"/>
      <c r="GZ32" s="31"/>
      <c r="HA32" s="31"/>
      <c r="HB32" s="31"/>
      <c r="HC32" s="31"/>
      <c r="HD32" s="31"/>
      <c r="HE32" s="31"/>
      <c r="HF32" s="31"/>
      <c r="HG32" s="31"/>
      <c r="HH32" s="31"/>
      <c r="HI32" s="31"/>
      <c r="HJ32" s="31"/>
      <c r="HK32" s="31"/>
      <c r="HL32" s="31"/>
      <c r="HM32" s="31"/>
      <c r="HN32" s="31"/>
      <c r="HO32" s="31"/>
      <c r="HP32" s="31"/>
      <c r="HQ32" s="31"/>
      <c r="HR32" s="31"/>
      <c r="HS32" s="31"/>
      <c r="HT32" s="31"/>
      <c r="HU32" s="31"/>
      <c r="HV32" s="31"/>
      <c r="HW32" s="31"/>
      <c r="HX32" s="31"/>
      <c r="HY32" s="31"/>
      <c r="HZ32" s="31"/>
      <c r="IA32" s="31"/>
      <c r="IB32" s="31"/>
      <c r="IC32" s="31"/>
      <c r="ID32" s="31"/>
      <c r="IE32" s="31"/>
      <c r="IF32" s="31"/>
      <c r="IG32" s="31"/>
      <c r="IH32" s="31"/>
      <c r="II32" s="31"/>
      <c r="IJ32" s="31"/>
      <c r="IK32" s="31"/>
      <c r="IL32" s="31"/>
      <c r="IM32" s="31"/>
      <c r="IN32" s="31"/>
      <c r="IO32" s="31"/>
      <c r="IP32" s="31"/>
      <c r="IQ32" s="31"/>
      <c r="IR32" s="31"/>
      <c r="IS32" s="31"/>
      <c r="IT32" s="31"/>
      <c r="IU32" s="31"/>
      <c r="IV32" s="31"/>
      <c r="IW32" s="31"/>
      <c r="IX32" s="31"/>
      <c r="IY32" s="31"/>
      <c r="IZ32" s="31"/>
      <c r="JA32" s="31"/>
      <c r="JB32" s="31"/>
      <c r="JC32" s="31"/>
      <c r="JD32" s="31"/>
      <c r="JE32" s="31"/>
      <c r="JF32" s="31"/>
      <c r="JG32" s="31"/>
      <c r="JH32" s="31"/>
      <c r="JI32" s="31"/>
      <c r="JJ32" s="31"/>
      <c r="JK32" s="31"/>
      <c r="JL32" s="31"/>
      <c r="JM32" s="31"/>
      <c r="JN32" s="31"/>
      <c r="JO32" s="31"/>
      <c r="JP32" s="31"/>
      <c r="JQ32" s="31"/>
      <c r="JR32" s="31"/>
      <c r="JS32" s="31"/>
      <c r="JT32" s="31"/>
      <c r="JU32" s="31"/>
      <c r="JV32" s="31"/>
      <c r="JW32" s="31"/>
      <c r="JX32" s="31"/>
      <c r="JY32" s="31"/>
      <c r="JZ32" s="31"/>
      <c r="KA32" s="31"/>
      <c r="KB32" s="31"/>
      <c r="KC32" s="31"/>
      <c r="KD32" s="31"/>
      <c r="KE32" s="31"/>
      <c r="KF32" s="31"/>
      <c r="KG32" s="31"/>
      <c r="KH32" s="31"/>
      <c r="KI32" s="31"/>
      <c r="KJ32" s="31"/>
      <c r="KK32" s="31"/>
      <c r="KL32" s="31"/>
      <c r="KM32" s="31"/>
      <c r="KN32" s="31"/>
      <c r="KO32" s="31"/>
      <c r="KP32" s="31"/>
      <c r="KQ32" s="31"/>
      <c r="KR32" s="31"/>
      <c r="KS32" s="31"/>
      <c r="KT32" s="31"/>
      <c r="KU32" s="31"/>
      <c r="KV32" s="31"/>
      <c r="KW32" s="31"/>
      <c r="KX32" s="31"/>
      <c r="KY32" s="31"/>
      <c r="KZ32" s="31"/>
      <c r="LA32" s="31"/>
      <c r="LB32" s="31"/>
      <c r="LC32" s="31"/>
      <c r="LD32" s="31"/>
      <c r="LE32" s="31"/>
      <c r="LF32" s="31"/>
      <c r="LG32" s="31"/>
      <c r="LH32" s="31"/>
      <c r="LI32" s="31"/>
      <c r="LJ32" s="31"/>
      <c r="LK32" s="31"/>
    </row>
    <row r="33" spans="1:323" s="3" customFormat="1" ht="30" hidden="1" customHeight="1" thickBot="1" x14ac:dyDescent="0.35">
      <c r="A33" s="45"/>
      <c r="B33" s="64" t="s">
        <v>70</v>
      </c>
      <c r="C33" s="59" t="s">
        <v>54</v>
      </c>
      <c r="D33" s="26">
        <v>0</v>
      </c>
      <c r="E33" s="81">
        <v>46139</v>
      </c>
      <c r="F33" s="81">
        <v>46145</v>
      </c>
      <c r="G33" s="14"/>
      <c r="H33" s="14">
        <f t="shared" si="166"/>
        <v>7</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1"/>
      <c r="EH33" s="31"/>
      <c r="EI33" s="31"/>
      <c r="EJ33" s="31"/>
      <c r="EK33" s="31"/>
      <c r="EL33" s="31"/>
      <c r="EM33" s="31"/>
      <c r="EN33" s="31"/>
      <c r="EO33" s="31"/>
      <c r="EP33" s="31"/>
      <c r="EQ33" s="31"/>
      <c r="ER33" s="31"/>
      <c r="ES33" s="31"/>
      <c r="ET33" s="31"/>
      <c r="EU33" s="31"/>
      <c r="EV33" s="31"/>
      <c r="EW33" s="31"/>
      <c r="EX33" s="31"/>
      <c r="EY33" s="31"/>
      <c r="EZ33" s="31"/>
      <c r="FA33" s="31"/>
      <c r="FB33" s="31"/>
      <c r="FC33" s="31"/>
      <c r="FD33" s="31"/>
      <c r="FE33" s="31"/>
      <c r="FF33" s="31"/>
      <c r="FG33" s="31"/>
      <c r="FH33" s="31"/>
      <c r="FI33" s="31"/>
      <c r="FJ33" s="31"/>
      <c r="FK33" s="31"/>
      <c r="FL33" s="31"/>
      <c r="FM33" s="31"/>
      <c r="FN33" s="31"/>
      <c r="FO33" s="31"/>
      <c r="FP33" s="31"/>
      <c r="FQ33" s="31"/>
      <c r="FR33" s="31"/>
      <c r="FS33" s="31"/>
      <c r="FT33" s="31"/>
      <c r="FU33" s="31"/>
      <c r="FV33" s="31"/>
      <c r="FW33" s="31"/>
      <c r="FX33" s="31"/>
      <c r="FY33" s="31"/>
      <c r="FZ33" s="31"/>
      <c r="GA33" s="31"/>
      <c r="GB33" s="31"/>
      <c r="GC33" s="31"/>
      <c r="GD33" s="31"/>
      <c r="GE33" s="31"/>
      <c r="GF33" s="31"/>
      <c r="GG33" s="31"/>
      <c r="GH33" s="31"/>
      <c r="GI33" s="31"/>
      <c r="GJ33" s="31"/>
      <c r="GK33" s="31"/>
      <c r="GL33" s="31"/>
      <c r="GM33" s="31"/>
      <c r="GN33" s="31"/>
      <c r="GO33" s="31"/>
      <c r="GP33" s="31"/>
      <c r="GQ33" s="31"/>
      <c r="GR33" s="31"/>
      <c r="GS33" s="31"/>
      <c r="GT33" s="31"/>
      <c r="GU33" s="31"/>
      <c r="GV33" s="31"/>
      <c r="GW33" s="31"/>
      <c r="GX33" s="31"/>
      <c r="GY33" s="31"/>
      <c r="GZ33" s="31"/>
      <c r="HA33" s="31"/>
      <c r="HB33" s="31"/>
      <c r="HC33" s="31"/>
      <c r="HD33" s="31"/>
      <c r="HE33" s="31"/>
      <c r="HF33" s="31"/>
      <c r="HG33" s="31"/>
      <c r="HH33" s="31"/>
      <c r="HI33" s="31"/>
      <c r="HJ33" s="31"/>
      <c r="HK33" s="31"/>
      <c r="HL33" s="31"/>
      <c r="HM33" s="31"/>
      <c r="HN33" s="31"/>
      <c r="HO33" s="31"/>
      <c r="HP33" s="31"/>
      <c r="HQ33" s="31"/>
      <c r="HR33" s="31"/>
      <c r="HS33" s="31"/>
      <c r="HT33" s="31"/>
      <c r="HU33" s="31"/>
      <c r="HV33" s="31"/>
      <c r="HW33" s="31"/>
      <c r="HX33" s="31"/>
      <c r="HY33" s="31"/>
      <c r="HZ33" s="31"/>
      <c r="IA33" s="31"/>
      <c r="IB33" s="31"/>
      <c r="IC33" s="31"/>
      <c r="ID33" s="31"/>
      <c r="IE33" s="31"/>
      <c r="IF33" s="31"/>
      <c r="IG33" s="31"/>
      <c r="IH33" s="31"/>
      <c r="II33" s="31"/>
      <c r="IJ33" s="31"/>
      <c r="IK33" s="31"/>
      <c r="IL33" s="31"/>
      <c r="IM33" s="31"/>
      <c r="IN33" s="31"/>
      <c r="IO33" s="31"/>
      <c r="IP33" s="31"/>
      <c r="IQ33" s="31"/>
      <c r="IR33" s="31"/>
      <c r="IS33" s="31"/>
      <c r="IT33" s="31"/>
      <c r="IU33" s="31"/>
      <c r="IV33" s="31"/>
      <c r="IW33" s="31"/>
      <c r="IX33" s="31"/>
      <c r="IY33" s="31"/>
      <c r="IZ33" s="31"/>
      <c r="JA33" s="31"/>
      <c r="JB33" s="31"/>
      <c r="JC33" s="31"/>
      <c r="JD33" s="31"/>
      <c r="JE33" s="31"/>
      <c r="JF33" s="31"/>
      <c r="JG33" s="31"/>
      <c r="JH33" s="31"/>
      <c r="JI33" s="31"/>
      <c r="JJ33" s="31"/>
      <c r="JK33" s="31"/>
      <c r="JL33" s="31"/>
      <c r="JM33" s="31"/>
      <c r="JN33" s="31"/>
      <c r="JO33" s="31"/>
      <c r="JP33" s="31"/>
      <c r="JQ33" s="31"/>
      <c r="JR33" s="31"/>
      <c r="JS33" s="31"/>
      <c r="JT33" s="31"/>
      <c r="JU33" s="31"/>
      <c r="JV33" s="31"/>
      <c r="JW33" s="31"/>
      <c r="JX33" s="31"/>
      <c r="JY33" s="31"/>
      <c r="JZ33" s="31"/>
      <c r="KA33" s="31"/>
      <c r="KB33" s="31"/>
      <c r="KC33" s="31"/>
      <c r="KD33" s="31"/>
      <c r="KE33" s="31"/>
      <c r="KF33" s="31"/>
      <c r="KG33" s="31"/>
      <c r="KH33" s="31"/>
      <c r="KI33" s="31"/>
      <c r="KJ33" s="31"/>
      <c r="KK33" s="31"/>
      <c r="KL33" s="31"/>
      <c r="KM33" s="31"/>
      <c r="KN33" s="31"/>
      <c r="KO33" s="31"/>
      <c r="KP33" s="31"/>
      <c r="KQ33" s="31"/>
      <c r="KR33" s="31"/>
      <c r="KS33" s="31"/>
      <c r="KT33" s="31"/>
      <c r="KU33" s="31"/>
      <c r="KV33" s="31"/>
      <c r="KW33" s="31"/>
      <c r="KX33" s="31"/>
      <c r="KY33" s="31"/>
      <c r="KZ33" s="31"/>
      <c r="LA33" s="31"/>
      <c r="LB33" s="31"/>
      <c r="LC33" s="31"/>
      <c r="LD33" s="31"/>
      <c r="LE33" s="31"/>
      <c r="LF33" s="31"/>
      <c r="LG33" s="31"/>
      <c r="LH33" s="31"/>
      <c r="LI33" s="31"/>
      <c r="LJ33" s="31"/>
      <c r="LK33" s="31"/>
    </row>
    <row r="34" spans="1:323" s="3" customFormat="1" ht="30" hidden="1" customHeight="1" thickBot="1" x14ac:dyDescent="0.35">
      <c r="A34" s="45"/>
      <c r="B34" s="64" t="s">
        <v>71</v>
      </c>
      <c r="C34" s="59" t="s">
        <v>54</v>
      </c>
      <c r="D34" s="26">
        <v>0</v>
      </c>
      <c r="E34" s="81">
        <v>46139</v>
      </c>
      <c r="F34" s="81">
        <v>46145</v>
      </c>
      <c r="G34" s="14"/>
      <c r="H34" s="14">
        <f t="shared" si="166"/>
        <v>7</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1"/>
      <c r="EH34" s="31"/>
      <c r="EI34" s="31"/>
      <c r="EJ34" s="31"/>
      <c r="EK34" s="31"/>
      <c r="EL34" s="31"/>
      <c r="EM34" s="31"/>
      <c r="EN34" s="31"/>
      <c r="EO34" s="31"/>
      <c r="EP34" s="31"/>
      <c r="EQ34" s="31"/>
      <c r="ER34" s="31"/>
      <c r="ES34" s="31"/>
      <c r="ET34" s="31"/>
      <c r="EU34" s="31"/>
      <c r="EV34" s="31"/>
      <c r="EW34" s="31"/>
      <c r="EX34" s="31"/>
      <c r="EY34" s="31"/>
      <c r="EZ34" s="31"/>
      <c r="FA34" s="31"/>
      <c r="FB34" s="31"/>
      <c r="FC34" s="31"/>
      <c r="FD34" s="31"/>
      <c r="FE34" s="31"/>
      <c r="FF34" s="31"/>
      <c r="FG34" s="31"/>
      <c r="FH34" s="31"/>
      <c r="FI34" s="31"/>
      <c r="FJ34" s="31"/>
      <c r="FK34" s="31"/>
      <c r="FL34" s="31"/>
      <c r="FM34" s="31"/>
      <c r="FN34" s="31"/>
      <c r="FO34" s="31"/>
      <c r="FP34" s="31"/>
      <c r="FQ34" s="31"/>
      <c r="FR34" s="31"/>
      <c r="FS34" s="31"/>
      <c r="FT34" s="31"/>
      <c r="FU34" s="31"/>
      <c r="FV34" s="31"/>
      <c r="FW34" s="31"/>
      <c r="FX34" s="31"/>
      <c r="FY34" s="31"/>
      <c r="FZ34" s="31"/>
      <c r="GA34" s="31"/>
      <c r="GB34" s="31"/>
      <c r="GC34" s="31"/>
      <c r="GD34" s="31"/>
      <c r="GE34" s="31"/>
      <c r="GF34" s="31"/>
      <c r="GG34" s="31"/>
      <c r="GH34" s="31"/>
      <c r="GI34" s="31"/>
      <c r="GJ34" s="31"/>
      <c r="GK34" s="31"/>
      <c r="GL34" s="31"/>
      <c r="GM34" s="31"/>
      <c r="GN34" s="31"/>
      <c r="GO34" s="31"/>
      <c r="GP34" s="31"/>
      <c r="GQ34" s="31"/>
      <c r="GR34" s="31"/>
      <c r="GS34" s="31"/>
      <c r="GT34" s="31"/>
      <c r="GU34" s="31"/>
      <c r="GV34" s="31"/>
      <c r="GW34" s="31"/>
      <c r="GX34" s="31"/>
      <c r="GY34" s="31"/>
      <c r="GZ34" s="31"/>
      <c r="HA34" s="31"/>
      <c r="HB34" s="31"/>
      <c r="HC34" s="31"/>
      <c r="HD34" s="31"/>
      <c r="HE34" s="31"/>
      <c r="HF34" s="31"/>
      <c r="HG34" s="31"/>
      <c r="HH34" s="31"/>
      <c r="HI34" s="31"/>
      <c r="HJ34" s="31"/>
      <c r="HK34" s="31"/>
      <c r="HL34" s="31"/>
      <c r="HM34" s="31"/>
      <c r="HN34" s="31"/>
      <c r="HO34" s="31"/>
      <c r="HP34" s="31"/>
      <c r="HQ34" s="31"/>
      <c r="HR34" s="31"/>
      <c r="HS34" s="31"/>
      <c r="HT34" s="31"/>
      <c r="HU34" s="31"/>
      <c r="HV34" s="31"/>
      <c r="HW34" s="31"/>
      <c r="HX34" s="31"/>
      <c r="HY34" s="31"/>
      <c r="HZ34" s="31"/>
      <c r="IA34" s="31"/>
      <c r="IB34" s="31"/>
      <c r="IC34" s="31"/>
      <c r="ID34" s="31"/>
      <c r="IE34" s="31"/>
      <c r="IF34" s="31"/>
      <c r="IG34" s="31"/>
      <c r="IH34" s="31"/>
      <c r="II34" s="31"/>
      <c r="IJ34" s="31"/>
      <c r="IK34" s="31"/>
      <c r="IL34" s="31"/>
      <c r="IM34" s="31"/>
      <c r="IN34" s="31"/>
      <c r="IO34" s="31"/>
      <c r="IP34" s="31"/>
      <c r="IQ34" s="31"/>
      <c r="IR34" s="31"/>
      <c r="IS34" s="31"/>
      <c r="IT34" s="31"/>
      <c r="IU34" s="31"/>
      <c r="IV34" s="31"/>
      <c r="IW34" s="31"/>
      <c r="IX34" s="31"/>
      <c r="IY34" s="31"/>
      <c r="IZ34" s="31"/>
      <c r="JA34" s="31"/>
      <c r="JB34" s="31"/>
      <c r="JC34" s="31"/>
      <c r="JD34" s="31"/>
      <c r="JE34" s="31"/>
      <c r="JF34" s="31"/>
      <c r="JG34" s="31"/>
      <c r="JH34" s="31"/>
      <c r="JI34" s="31"/>
      <c r="JJ34" s="31"/>
      <c r="JK34" s="31"/>
      <c r="JL34" s="31"/>
      <c r="JM34" s="31"/>
      <c r="JN34" s="31"/>
      <c r="JO34" s="31"/>
      <c r="JP34" s="31"/>
      <c r="JQ34" s="31"/>
      <c r="JR34" s="31"/>
      <c r="JS34" s="31"/>
      <c r="JT34" s="31"/>
      <c r="JU34" s="31"/>
      <c r="JV34" s="31"/>
      <c r="JW34" s="31"/>
      <c r="JX34" s="31"/>
      <c r="JY34" s="31"/>
      <c r="JZ34" s="31"/>
      <c r="KA34" s="31"/>
      <c r="KB34" s="31"/>
      <c r="KC34" s="31"/>
      <c r="KD34" s="31"/>
      <c r="KE34" s="31"/>
      <c r="KF34" s="31"/>
      <c r="KG34" s="31"/>
      <c r="KH34" s="31"/>
      <c r="KI34" s="31"/>
      <c r="KJ34" s="31"/>
      <c r="KK34" s="31"/>
      <c r="KL34" s="31"/>
      <c r="KM34" s="31"/>
      <c r="KN34" s="31"/>
      <c r="KO34" s="31"/>
      <c r="KP34" s="31"/>
      <c r="KQ34" s="31"/>
      <c r="KR34" s="31"/>
      <c r="KS34" s="31"/>
      <c r="KT34" s="31"/>
      <c r="KU34" s="31"/>
      <c r="KV34" s="31"/>
      <c r="KW34" s="31"/>
      <c r="KX34" s="31"/>
      <c r="KY34" s="31"/>
      <c r="KZ34" s="31"/>
      <c r="LA34" s="31"/>
      <c r="LB34" s="31"/>
      <c r="LC34" s="31"/>
      <c r="LD34" s="31"/>
      <c r="LE34" s="31"/>
      <c r="LF34" s="31"/>
      <c r="LG34" s="31"/>
      <c r="LH34" s="31"/>
      <c r="LI34" s="31"/>
      <c r="LJ34" s="31"/>
      <c r="LK34" s="31"/>
    </row>
    <row r="35" spans="1:323" s="3" customFormat="1" ht="30" customHeight="1" thickBot="1" x14ac:dyDescent="0.35">
      <c r="A35" s="45" t="s">
        <v>12</v>
      </c>
      <c r="B35" s="96" t="s">
        <v>72</v>
      </c>
      <c r="C35" s="98"/>
      <c r="D35" s="99"/>
      <c r="E35" s="100"/>
      <c r="F35" s="100"/>
      <c r="G35" s="14"/>
      <c r="H35" s="14" t="str">
        <f t="shared" si="166"/>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1"/>
      <c r="EH35" s="31"/>
      <c r="EI35" s="31"/>
      <c r="EJ35" s="31"/>
      <c r="EK35" s="31"/>
      <c r="EL35" s="31"/>
      <c r="EM35" s="31"/>
      <c r="EN35" s="31"/>
      <c r="EO35" s="31"/>
      <c r="EP35" s="31"/>
      <c r="EQ35" s="31"/>
      <c r="ER35" s="31"/>
      <c r="ES35" s="31"/>
      <c r="ET35" s="31"/>
      <c r="EU35" s="31"/>
      <c r="EV35" s="31"/>
      <c r="EW35" s="31"/>
      <c r="EX35" s="31"/>
      <c r="EY35" s="31"/>
      <c r="EZ35" s="31"/>
      <c r="FA35" s="31"/>
      <c r="FB35" s="31"/>
      <c r="FC35" s="31"/>
      <c r="FD35" s="31"/>
      <c r="FE35" s="31"/>
      <c r="FF35" s="31"/>
      <c r="FG35" s="31"/>
      <c r="FH35" s="31"/>
      <c r="FI35" s="31"/>
      <c r="FJ35" s="31"/>
      <c r="FK35" s="31"/>
      <c r="FL35" s="31"/>
      <c r="FM35" s="31"/>
      <c r="FN35" s="31"/>
      <c r="FO35" s="31"/>
      <c r="FP35" s="31"/>
      <c r="FQ35" s="31"/>
      <c r="FR35" s="31"/>
      <c r="FS35" s="31"/>
      <c r="FT35" s="31"/>
      <c r="FU35" s="31"/>
      <c r="FV35" s="31"/>
      <c r="FW35" s="31"/>
      <c r="FX35" s="31"/>
      <c r="FY35" s="31"/>
      <c r="FZ35" s="31"/>
      <c r="GA35" s="31"/>
      <c r="GB35" s="31"/>
      <c r="GC35" s="31"/>
      <c r="GD35" s="31"/>
      <c r="GE35" s="31"/>
      <c r="GF35" s="31"/>
      <c r="GG35" s="31"/>
      <c r="GH35" s="31"/>
      <c r="GI35" s="31"/>
      <c r="GJ35" s="31"/>
      <c r="GK35" s="31"/>
      <c r="GL35" s="31"/>
      <c r="GM35" s="31"/>
      <c r="GN35" s="31"/>
      <c r="GO35" s="31"/>
      <c r="GP35" s="31"/>
      <c r="GQ35" s="31"/>
      <c r="GR35" s="31"/>
      <c r="GS35" s="31"/>
      <c r="GT35" s="31"/>
      <c r="GU35" s="31"/>
      <c r="GV35" s="31"/>
      <c r="GW35" s="31"/>
      <c r="GX35" s="31"/>
      <c r="GY35" s="31"/>
      <c r="GZ35" s="31"/>
      <c r="HA35" s="31"/>
      <c r="HB35" s="31"/>
      <c r="HC35" s="31"/>
      <c r="HD35" s="31"/>
      <c r="HE35" s="31"/>
      <c r="HF35" s="31"/>
      <c r="HG35" s="31"/>
      <c r="HH35" s="31"/>
      <c r="HI35" s="31"/>
      <c r="HJ35" s="31"/>
      <c r="HK35" s="31"/>
      <c r="HL35" s="31"/>
      <c r="HM35" s="31"/>
      <c r="HN35" s="31"/>
      <c r="HO35" s="31"/>
      <c r="HP35" s="31"/>
      <c r="HQ35" s="31"/>
      <c r="HR35" s="31"/>
      <c r="HS35" s="31"/>
      <c r="HT35" s="31"/>
      <c r="HU35" s="31"/>
      <c r="HV35" s="31"/>
      <c r="HW35" s="31"/>
      <c r="HX35" s="31"/>
      <c r="HY35" s="31"/>
      <c r="HZ35" s="31"/>
      <c r="IA35" s="31"/>
      <c r="IB35" s="31"/>
      <c r="IC35" s="31"/>
      <c r="ID35" s="31"/>
      <c r="IE35" s="31"/>
      <c r="IF35" s="31"/>
      <c r="IG35" s="31"/>
      <c r="IH35" s="31"/>
      <c r="II35" s="31"/>
      <c r="IJ35" s="31"/>
      <c r="IK35" s="31"/>
      <c r="IL35" s="31"/>
      <c r="IM35" s="31"/>
      <c r="IN35" s="31"/>
      <c r="IO35" s="31"/>
      <c r="IP35" s="31"/>
      <c r="IQ35" s="31"/>
      <c r="IR35" s="31"/>
      <c r="IS35" s="31"/>
      <c r="IT35" s="31"/>
      <c r="IU35" s="31"/>
      <c r="IV35" s="31"/>
      <c r="IW35" s="31"/>
      <c r="IX35" s="31"/>
      <c r="IY35" s="31"/>
      <c r="IZ35" s="31"/>
      <c r="JA35" s="31"/>
      <c r="JB35" s="31"/>
      <c r="JC35" s="31"/>
      <c r="JD35" s="31"/>
      <c r="JE35" s="31"/>
      <c r="JF35" s="31"/>
      <c r="JG35" s="31"/>
      <c r="JH35" s="31"/>
      <c r="JI35" s="31"/>
      <c r="JJ35" s="31"/>
      <c r="JK35" s="31"/>
      <c r="JL35" s="31"/>
      <c r="JM35" s="31"/>
      <c r="JN35" s="31"/>
      <c r="JO35" s="31"/>
      <c r="JP35" s="31"/>
      <c r="JQ35" s="31"/>
      <c r="JR35" s="31"/>
      <c r="JS35" s="31"/>
      <c r="JT35" s="31"/>
      <c r="JU35" s="31"/>
      <c r="JV35" s="31"/>
      <c r="JW35" s="31"/>
      <c r="JX35" s="31"/>
      <c r="JY35" s="31"/>
      <c r="JZ35" s="31"/>
      <c r="KA35" s="31"/>
      <c r="KB35" s="31"/>
      <c r="KC35" s="31"/>
      <c r="KD35" s="31"/>
      <c r="KE35" s="31"/>
      <c r="KF35" s="31"/>
      <c r="KG35" s="31"/>
      <c r="KH35" s="31"/>
      <c r="KI35" s="31"/>
      <c r="KJ35" s="31"/>
      <c r="KK35" s="31"/>
      <c r="KL35" s="31"/>
      <c r="KM35" s="31"/>
      <c r="KN35" s="31"/>
      <c r="KO35" s="31"/>
      <c r="KP35" s="31"/>
      <c r="KQ35" s="31"/>
      <c r="KR35" s="31"/>
      <c r="KS35" s="31"/>
      <c r="KT35" s="31"/>
      <c r="KU35" s="31"/>
      <c r="KV35" s="31"/>
      <c r="KW35" s="31"/>
      <c r="KX35" s="31"/>
      <c r="KY35" s="31"/>
      <c r="KZ35" s="31"/>
      <c r="LA35" s="31"/>
      <c r="LB35" s="31"/>
      <c r="LC35" s="31"/>
      <c r="LD35" s="31"/>
      <c r="LE35" s="31"/>
      <c r="LF35" s="31"/>
      <c r="LG35" s="31"/>
      <c r="LH35" s="31"/>
      <c r="LI35" s="31"/>
      <c r="LJ35" s="31"/>
      <c r="LK35" s="31"/>
    </row>
    <row r="36" spans="1:323" s="3" customFormat="1" ht="30" customHeight="1" thickBot="1" x14ac:dyDescent="0.35">
      <c r="A36" s="45"/>
      <c r="B36" s="97" t="s">
        <v>73</v>
      </c>
      <c r="C36" s="98" t="s">
        <v>54</v>
      </c>
      <c r="D36" s="99">
        <v>0</v>
      </c>
      <c r="E36" s="100">
        <v>46235</v>
      </c>
      <c r="F36" s="100">
        <v>46325</v>
      </c>
      <c r="G36" s="14"/>
      <c r="H36" s="14"/>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c r="CA36" s="31"/>
      <c r="CB36" s="31"/>
      <c r="CC36" s="31"/>
      <c r="CD36" s="31"/>
      <c r="CE36" s="31"/>
      <c r="CF36" s="31"/>
      <c r="CG36" s="31"/>
      <c r="CH36" s="31"/>
      <c r="CI36" s="3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G36" s="31"/>
      <c r="EH36" s="31"/>
      <c r="EI36" s="31"/>
      <c r="EJ36" s="31"/>
      <c r="EK36" s="31"/>
      <c r="EL36" s="31"/>
      <c r="EM36" s="31"/>
      <c r="EN36" s="31"/>
      <c r="EO36" s="31"/>
      <c r="EP36" s="31"/>
      <c r="EQ36" s="31"/>
      <c r="ER36" s="31"/>
      <c r="ES36" s="31"/>
      <c r="ET36" s="31"/>
      <c r="EU36" s="31"/>
      <c r="EV36" s="31"/>
      <c r="EW36" s="31"/>
      <c r="EX36" s="31"/>
      <c r="EY36" s="31"/>
      <c r="EZ36" s="31"/>
      <c r="FA36" s="31"/>
      <c r="FB36" s="31"/>
      <c r="FC36" s="31"/>
      <c r="FD36" s="31"/>
      <c r="FE36" s="31"/>
      <c r="FF36" s="31"/>
      <c r="FG36" s="31"/>
      <c r="FH36" s="31"/>
      <c r="FI36" s="31"/>
      <c r="FJ36" s="31"/>
      <c r="FK36" s="31"/>
      <c r="FL36" s="31"/>
      <c r="FM36" s="31"/>
      <c r="FN36" s="31"/>
      <c r="FO36" s="31"/>
      <c r="FP36" s="31"/>
      <c r="FQ36" s="31"/>
      <c r="FR36" s="31"/>
      <c r="FS36" s="31"/>
      <c r="FT36" s="31"/>
      <c r="FU36" s="31"/>
      <c r="FV36" s="31"/>
      <c r="FW36" s="31"/>
      <c r="FX36" s="31"/>
      <c r="FY36" s="31"/>
      <c r="FZ36" s="31"/>
      <c r="GA36" s="31"/>
      <c r="GB36" s="31"/>
      <c r="GC36" s="31"/>
      <c r="GD36" s="31"/>
      <c r="GE36" s="31"/>
      <c r="GF36" s="31"/>
      <c r="GG36" s="31"/>
      <c r="GH36" s="31"/>
      <c r="GI36" s="31"/>
      <c r="GJ36" s="31"/>
      <c r="GK36" s="31"/>
      <c r="GL36" s="31"/>
      <c r="GM36" s="31"/>
      <c r="GN36" s="31"/>
      <c r="GO36" s="31"/>
      <c r="GP36" s="31"/>
      <c r="GQ36" s="31"/>
      <c r="GR36" s="31"/>
      <c r="GS36" s="31"/>
      <c r="GT36" s="31"/>
      <c r="GU36" s="31"/>
      <c r="GV36" s="31"/>
      <c r="GW36" s="31"/>
      <c r="GX36" s="31"/>
      <c r="GY36" s="31"/>
      <c r="GZ36" s="31"/>
      <c r="HA36" s="31"/>
      <c r="HB36" s="31"/>
      <c r="HC36" s="31"/>
      <c r="HD36" s="31"/>
      <c r="HE36" s="31"/>
      <c r="HF36" s="31"/>
      <c r="HG36" s="31"/>
      <c r="HH36" s="31"/>
      <c r="HI36" s="31"/>
      <c r="HJ36" s="31"/>
      <c r="HK36" s="31"/>
      <c r="HL36" s="31"/>
      <c r="HM36" s="31"/>
      <c r="HN36" s="31"/>
      <c r="HO36" s="31"/>
      <c r="HP36" s="31"/>
      <c r="HQ36" s="31"/>
      <c r="HR36" s="31"/>
      <c r="HS36" s="31"/>
      <c r="HT36" s="31"/>
      <c r="HU36" s="31"/>
      <c r="HV36" s="31"/>
      <c r="HW36" s="31"/>
      <c r="HX36" s="31"/>
      <c r="HY36" s="31"/>
      <c r="HZ36" s="31"/>
      <c r="IA36" s="31"/>
      <c r="IB36" s="31"/>
      <c r="IC36" s="31"/>
      <c r="ID36" s="31"/>
      <c r="IE36" s="31"/>
      <c r="IF36" s="31"/>
      <c r="IG36" s="31"/>
      <c r="IH36" s="31"/>
      <c r="II36" s="31"/>
      <c r="IJ36" s="31"/>
      <c r="IK36" s="31"/>
      <c r="IL36" s="31"/>
      <c r="IM36" s="31"/>
      <c r="IN36" s="31"/>
      <c r="IO36" s="31"/>
      <c r="IP36" s="31"/>
      <c r="IQ36" s="31"/>
      <c r="IR36" s="31"/>
      <c r="IS36" s="31"/>
      <c r="IT36" s="31"/>
      <c r="IU36" s="31"/>
      <c r="IV36" s="31"/>
      <c r="IW36" s="31"/>
      <c r="IX36" s="31"/>
      <c r="IY36" s="31"/>
      <c r="IZ36" s="31"/>
      <c r="JA36" s="31"/>
      <c r="JB36" s="31"/>
      <c r="JC36" s="31"/>
      <c r="JD36" s="31"/>
      <c r="JE36" s="31"/>
      <c r="JF36" s="31"/>
      <c r="JG36" s="31"/>
      <c r="JH36" s="31"/>
      <c r="JI36" s="31"/>
      <c r="JJ36" s="31"/>
      <c r="JK36" s="31"/>
      <c r="JL36" s="31"/>
      <c r="JM36" s="31"/>
      <c r="JN36" s="31"/>
      <c r="JO36" s="31"/>
      <c r="JP36" s="31"/>
      <c r="JQ36" s="31"/>
      <c r="JR36" s="31"/>
      <c r="JS36" s="31"/>
      <c r="JT36" s="31"/>
      <c r="JU36" s="31"/>
      <c r="JV36" s="31"/>
      <c r="JW36" s="31"/>
      <c r="JX36" s="31"/>
      <c r="JY36" s="31"/>
      <c r="JZ36" s="31"/>
      <c r="KA36" s="31"/>
      <c r="KB36" s="31"/>
      <c r="KC36" s="31"/>
      <c r="KD36" s="31"/>
      <c r="KE36" s="31"/>
      <c r="KF36" s="31"/>
      <c r="KG36" s="31"/>
      <c r="KH36" s="31"/>
      <c r="KI36" s="31"/>
      <c r="KJ36" s="31"/>
      <c r="KK36" s="31"/>
      <c r="KL36" s="31"/>
      <c r="KM36" s="31"/>
      <c r="KN36" s="31"/>
      <c r="KO36" s="31"/>
      <c r="KP36" s="31"/>
      <c r="KQ36" s="31"/>
      <c r="KR36" s="31"/>
      <c r="KS36" s="31"/>
      <c r="KT36" s="31"/>
      <c r="KU36" s="31"/>
      <c r="KV36" s="31"/>
      <c r="KW36" s="31"/>
      <c r="KX36" s="31"/>
      <c r="KY36" s="31"/>
      <c r="KZ36" s="31"/>
      <c r="LA36" s="31"/>
      <c r="LB36" s="31"/>
      <c r="LC36" s="31"/>
      <c r="LD36" s="31"/>
      <c r="LE36" s="31"/>
      <c r="LF36" s="31"/>
      <c r="LG36" s="31"/>
      <c r="LH36" s="31"/>
      <c r="LI36" s="31"/>
      <c r="LJ36" s="31"/>
      <c r="LK36" s="31"/>
    </row>
    <row r="37" spans="1:323" s="3" customFormat="1" ht="30" customHeight="1" thickBot="1" x14ac:dyDescent="0.35">
      <c r="A37" s="45"/>
      <c r="B37" s="97" t="s">
        <v>74</v>
      </c>
      <c r="C37" s="98" t="s">
        <v>54</v>
      </c>
      <c r="D37" s="99">
        <v>0</v>
      </c>
      <c r="E37" s="100">
        <v>46235</v>
      </c>
      <c r="F37" s="100">
        <v>46325</v>
      </c>
      <c r="G37" s="14"/>
      <c r="H37" s="14"/>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c r="CA37" s="31"/>
      <c r="CB37" s="31"/>
      <c r="CC37" s="31"/>
      <c r="CD37" s="31"/>
      <c r="CE37" s="31"/>
      <c r="CF37" s="31"/>
      <c r="CG37" s="31"/>
      <c r="CH37" s="31"/>
      <c r="CI37" s="3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G37" s="31"/>
      <c r="EH37" s="31"/>
      <c r="EI37" s="31"/>
      <c r="EJ37" s="31"/>
      <c r="EK37" s="31"/>
      <c r="EL37" s="31"/>
      <c r="EM37" s="31"/>
      <c r="EN37" s="31"/>
      <c r="EO37" s="31"/>
      <c r="EP37" s="31"/>
      <c r="EQ37" s="31"/>
      <c r="ER37" s="31"/>
      <c r="ES37" s="31"/>
      <c r="ET37" s="31"/>
      <c r="EU37" s="31"/>
      <c r="EV37" s="31"/>
      <c r="EW37" s="31"/>
      <c r="EX37" s="31"/>
      <c r="EY37" s="31"/>
      <c r="EZ37" s="31"/>
      <c r="FA37" s="31"/>
      <c r="FB37" s="31"/>
      <c r="FC37" s="31"/>
      <c r="FD37" s="31"/>
      <c r="FE37" s="31"/>
      <c r="FF37" s="31"/>
      <c r="FG37" s="31"/>
      <c r="FH37" s="31"/>
      <c r="FI37" s="31"/>
      <c r="FJ37" s="31"/>
      <c r="FK37" s="31"/>
      <c r="FL37" s="31"/>
      <c r="FM37" s="31"/>
      <c r="FN37" s="31"/>
      <c r="FO37" s="31"/>
      <c r="FP37" s="31"/>
      <c r="FQ37" s="31"/>
      <c r="FR37" s="31"/>
      <c r="FS37" s="31"/>
      <c r="FT37" s="31"/>
      <c r="FU37" s="31"/>
      <c r="FV37" s="31"/>
      <c r="FW37" s="31"/>
      <c r="FX37" s="31"/>
      <c r="FY37" s="31"/>
      <c r="FZ37" s="31"/>
      <c r="GA37" s="31"/>
      <c r="GB37" s="31"/>
      <c r="GC37" s="31"/>
      <c r="GD37" s="31"/>
      <c r="GE37" s="31"/>
      <c r="GF37" s="31"/>
      <c r="GG37" s="31"/>
      <c r="GH37" s="31"/>
      <c r="GI37" s="31"/>
      <c r="GJ37" s="31"/>
      <c r="GK37" s="31"/>
      <c r="GL37" s="31"/>
      <c r="GM37" s="31"/>
      <c r="GN37" s="31"/>
      <c r="GO37" s="31"/>
      <c r="GP37" s="31"/>
      <c r="GQ37" s="31"/>
      <c r="GR37" s="31"/>
      <c r="GS37" s="31"/>
      <c r="GT37" s="31"/>
      <c r="GU37" s="31"/>
      <c r="GV37" s="31"/>
      <c r="GW37" s="31"/>
      <c r="GX37" s="31"/>
      <c r="GY37" s="31"/>
      <c r="GZ37" s="31"/>
      <c r="HA37" s="31"/>
      <c r="HB37" s="31"/>
      <c r="HC37" s="31"/>
      <c r="HD37" s="31"/>
      <c r="HE37" s="31"/>
      <c r="HF37" s="31"/>
      <c r="HG37" s="31"/>
      <c r="HH37" s="31"/>
      <c r="HI37" s="31"/>
      <c r="HJ37" s="31"/>
      <c r="HK37" s="31"/>
      <c r="HL37" s="31"/>
      <c r="HM37" s="31"/>
      <c r="HN37" s="31"/>
      <c r="HO37" s="31"/>
      <c r="HP37" s="31"/>
      <c r="HQ37" s="31"/>
      <c r="HR37" s="31"/>
      <c r="HS37" s="31"/>
      <c r="HT37" s="31"/>
      <c r="HU37" s="31"/>
      <c r="HV37" s="31"/>
      <c r="HW37" s="31"/>
      <c r="HX37" s="31"/>
      <c r="HY37" s="31"/>
      <c r="HZ37" s="31"/>
      <c r="IA37" s="31"/>
      <c r="IB37" s="31"/>
      <c r="IC37" s="31"/>
      <c r="ID37" s="31"/>
      <c r="IE37" s="31"/>
      <c r="IF37" s="31"/>
      <c r="IG37" s="31"/>
      <c r="IH37" s="31"/>
      <c r="II37" s="31"/>
      <c r="IJ37" s="31"/>
      <c r="IK37" s="31"/>
      <c r="IL37" s="31"/>
      <c r="IM37" s="31"/>
      <c r="IN37" s="31"/>
      <c r="IO37" s="31"/>
      <c r="IP37" s="31"/>
      <c r="IQ37" s="31"/>
      <c r="IR37" s="31"/>
      <c r="IS37" s="31"/>
      <c r="IT37" s="31"/>
      <c r="IU37" s="31"/>
      <c r="IV37" s="31"/>
      <c r="IW37" s="31"/>
      <c r="IX37" s="31"/>
      <c r="IY37" s="31"/>
      <c r="IZ37" s="31"/>
      <c r="JA37" s="31"/>
      <c r="JB37" s="31"/>
      <c r="JC37" s="31"/>
      <c r="JD37" s="31"/>
      <c r="JE37" s="31"/>
      <c r="JF37" s="31"/>
      <c r="JG37" s="31"/>
      <c r="JH37" s="31"/>
      <c r="JI37" s="31"/>
      <c r="JJ37" s="31"/>
      <c r="JK37" s="31"/>
      <c r="JL37" s="31"/>
      <c r="JM37" s="31"/>
      <c r="JN37" s="31"/>
      <c r="JO37" s="31"/>
      <c r="JP37" s="31"/>
      <c r="JQ37" s="31"/>
      <c r="JR37" s="31"/>
      <c r="JS37" s="31"/>
      <c r="JT37" s="31"/>
      <c r="JU37" s="31"/>
      <c r="JV37" s="31"/>
      <c r="JW37" s="31"/>
      <c r="JX37" s="31"/>
      <c r="JY37" s="31"/>
      <c r="JZ37" s="31"/>
      <c r="KA37" s="31"/>
      <c r="KB37" s="31"/>
      <c r="KC37" s="31"/>
      <c r="KD37" s="31"/>
      <c r="KE37" s="31"/>
      <c r="KF37" s="31"/>
      <c r="KG37" s="31"/>
      <c r="KH37" s="31"/>
      <c r="KI37" s="31"/>
      <c r="KJ37" s="31"/>
      <c r="KK37" s="31"/>
      <c r="KL37" s="31"/>
      <c r="KM37" s="31"/>
      <c r="KN37" s="31"/>
      <c r="KO37" s="31"/>
      <c r="KP37" s="31"/>
      <c r="KQ37" s="31"/>
      <c r="KR37" s="31"/>
      <c r="KS37" s="31"/>
      <c r="KT37" s="31"/>
      <c r="KU37" s="31"/>
      <c r="KV37" s="31"/>
      <c r="KW37" s="31"/>
      <c r="KX37" s="31"/>
      <c r="KY37" s="31"/>
      <c r="KZ37" s="31"/>
      <c r="LA37" s="31"/>
      <c r="LB37" s="31"/>
      <c r="LC37" s="31"/>
      <c r="LD37" s="31"/>
      <c r="LE37" s="31"/>
      <c r="LF37" s="31"/>
      <c r="LG37" s="31"/>
      <c r="LH37" s="31"/>
      <c r="LI37" s="31"/>
      <c r="LJ37" s="31"/>
      <c r="LK37" s="31"/>
    </row>
    <row r="38" spans="1:323" s="3" customFormat="1" ht="30" customHeight="1" thickBot="1" x14ac:dyDescent="0.35">
      <c r="A38" s="45"/>
      <c r="B38" s="18" t="s">
        <v>75</v>
      </c>
      <c r="C38" s="54"/>
      <c r="D38" s="19"/>
      <c r="E38" s="101"/>
      <c r="F38" s="101"/>
      <c r="G38" s="14"/>
      <c r="H38" s="14"/>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G38" s="31"/>
      <c r="EH38" s="31"/>
      <c r="EI38" s="31"/>
      <c r="EJ38" s="31"/>
      <c r="EK38" s="31"/>
      <c r="EL38" s="31"/>
      <c r="EM38" s="31"/>
      <c r="EN38" s="31"/>
      <c r="EO38" s="31"/>
      <c r="EP38" s="31"/>
      <c r="EQ38" s="31"/>
      <c r="ER38" s="31"/>
      <c r="ES38" s="31"/>
      <c r="ET38" s="31"/>
      <c r="EU38" s="31"/>
      <c r="EV38" s="31"/>
      <c r="EW38" s="31"/>
      <c r="EX38" s="31"/>
      <c r="EY38" s="31"/>
      <c r="EZ38" s="31"/>
      <c r="FA38" s="31"/>
      <c r="FB38" s="31"/>
      <c r="FC38" s="31"/>
      <c r="FD38" s="31"/>
      <c r="FE38" s="31"/>
      <c r="FF38" s="31"/>
      <c r="FG38" s="31"/>
      <c r="FH38" s="31"/>
      <c r="FI38" s="31"/>
      <c r="FJ38" s="31"/>
      <c r="FK38" s="31"/>
      <c r="FL38" s="31"/>
      <c r="FM38" s="31"/>
      <c r="FN38" s="31"/>
      <c r="FO38" s="31"/>
      <c r="FP38" s="31"/>
      <c r="FQ38" s="31"/>
      <c r="FR38" s="31"/>
      <c r="FS38" s="31"/>
      <c r="FT38" s="31"/>
      <c r="FU38" s="31"/>
      <c r="FV38" s="31"/>
      <c r="FW38" s="31"/>
      <c r="FX38" s="31"/>
      <c r="FY38" s="31"/>
      <c r="FZ38" s="31"/>
      <c r="GA38" s="31"/>
      <c r="GB38" s="31"/>
      <c r="GC38" s="31"/>
      <c r="GD38" s="31"/>
      <c r="GE38" s="31"/>
      <c r="GF38" s="31"/>
      <c r="GG38" s="31"/>
      <c r="GH38" s="31"/>
      <c r="GI38" s="31"/>
      <c r="GJ38" s="31"/>
      <c r="GK38" s="31"/>
      <c r="GL38" s="31"/>
      <c r="GM38" s="31"/>
      <c r="GN38" s="31"/>
      <c r="GO38" s="31"/>
      <c r="GP38" s="31"/>
      <c r="GQ38" s="31"/>
      <c r="GR38" s="31"/>
      <c r="GS38" s="31"/>
      <c r="GT38" s="31"/>
      <c r="GU38" s="31"/>
      <c r="GV38" s="31"/>
      <c r="GW38" s="31"/>
      <c r="GX38" s="31"/>
      <c r="GY38" s="31"/>
      <c r="GZ38" s="31"/>
      <c r="HA38" s="31"/>
      <c r="HB38" s="31"/>
      <c r="HC38" s="31"/>
      <c r="HD38" s="31"/>
      <c r="HE38" s="31"/>
      <c r="HF38" s="31"/>
      <c r="HG38" s="31"/>
      <c r="HH38" s="31"/>
      <c r="HI38" s="31"/>
      <c r="HJ38" s="31"/>
      <c r="HK38" s="31"/>
      <c r="HL38" s="31"/>
      <c r="HM38" s="31"/>
      <c r="HN38" s="31"/>
      <c r="HO38" s="31"/>
      <c r="HP38" s="31"/>
      <c r="HQ38" s="31"/>
      <c r="HR38" s="31"/>
      <c r="HS38" s="31"/>
      <c r="HT38" s="31"/>
      <c r="HU38" s="31"/>
      <c r="HV38" s="31"/>
      <c r="HW38" s="31"/>
      <c r="HX38" s="31"/>
      <c r="HY38" s="31"/>
      <c r="HZ38" s="31"/>
      <c r="IA38" s="31"/>
      <c r="IB38" s="31"/>
      <c r="IC38" s="31"/>
      <c r="ID38" s="31"/>
      <c r="IE38" s="31"/>
      <c r="IF38" s="31"/>
      <c r="IG38" s="31"/>
      <c r="IH38" s="31"/>
      <c r="II38" s="31"/>
      <c r="IJ38" s="31"/>
      <c r="IK38" s="31"/>
      <c r="IL38" s="31"/>
      <c r="IM38" s="31"/>
      <c r="IN38" s="31"/>
      <c r="IO38" s="31"/>
      <c r="IP38" s="31"/>
      <c r="IQ38" s="31"/>
      <c r="IR38" s="31"/>
      <c r="IS38" s="31"/>
      <c r="IT38" s="31"/>
      <c r="IU38" s="31"/>
      <c r="IV38" s="31"/>
      <c r="IW38" s="31"/>
      <c r="IX38" s="31"/>
      <c r="IY38" s="31"/>
      <c r="IZ38" s="31"/>
      <c r="JA38" s="31"/>
      <c r="JB38" s="31"/>
      <c r="JC38" s="31"/>
      <c r="JD38" s="31"/>
      <c r="JE38" s="31"/>
      <c r="JF38" s="31"/>
      <c r="JG38" s="31"/>
      <c r="JH38" s="31"/>
      <c r="JI38" s="31"/>
      <c r="JJ38" s="31"/>
      <c r="JK38" s="31"/>
      <c r="JL38" s="31"/>
      <c r="JM38" s="31"/>
      <c r="JN38" s="31"/>
      <c r="JO38" s="31"/>
      <c r="JP38" s="31"/>
      <c r="JQ38" s="31"/>
      <c r="JR38" s="31"/>
      <c r="JS38" s="31"/>
      <c r="JT38" s="31"/>
      <c r="JU38" s="31"/>
      <c r="JV38" s="31"/>
      <c r="JW38" s="31"/>
      <c r="JX38" s="31"/>
      <c r="JY38" s="31"/>
      <c r="JZ38" s="31"/>
      <c r="KA38" s="31"/>
      <c r="KB38" s="31"/>
      <c r="KC38" s="31"/>
      <c r="KD38" s="31"/>
      <c r="KE38" s="31"/>
      <c r="KF38" s="31"/>
      <c r="KG38" s="31"/>
      <c r="KH38" s="31"/>
      <c r="KI38" s="31"/>
      <c r="KJ38" s="31"/>
      <c r="KK38" s="31"/>
      <c r="KL38" s="31"/>
      <c r="KM38" s="31"/>
      <c r="KN38" s="31"/>
      <c r="KO38" s="31"/>
      <c r="KP38" s="31"/>
      <c r="KQ38" s="31"/>
      <c r="KR38" s="31"/>
      <c r="KS38" s="31"/>
      <c r="KT38" s="31"/>
      <c r="KU38" s="31"/>
      <c r="KV38" s="31"/>
      <c r="KW38" s="31"/>
      <c r="KX38" s="31"/>
      <c r="KY38" s="31"/>
      <c r="KZ38" s="31"/>
      <c r="LA38" s="31"/>
      <c r="LB38" s="31"/>
      <c r="LC38" s="31"/>
      <c r="LD38" s="31"/>
      <c r="LE38" s="31"/>
      <c r="LF38" s="31"/>
      <c r="LG38" s="31"/>
      <c r="LH38" s="31"/>
      <c r="LI38" s="31"/>
      <c r="LJ38" s="31"/>
      <c r="LK38" s="31"/>
    </row>
    <row r="39" spans="1:323" s="3" customFormat="1" ht="30" customHeight="1" thickBot="1" x14ac:dyDescent="0.35">
      <c r="A39" s="45"/>
      <c r="B39" s="102" t="s">
        <v>76</v>
      </c>
      <c r="C39" s="54" t="s">
        <v>54</v>
      </c>
      <c r="D39" s="19">
        <v>0</v>
      </c>
      <c r="E39" s="101">
        <v>46235</v>
      </c>
      <c r="F39" s="101">
        <v>46325</v>
      </c>
      <c r="G39" s="14"/>
      <c r="H39" s="14"/>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c r="EG39" s="31"/>
      <c r="EH39" s="31"/>
      <c r="EI39" s="31"/>
      <c r="EJ39" s="31"/>
      <c r="EK39" s="31"/>
      <c r="EL39" s="31"/>
      <c r="EM39" s="31"/>
      <c r="EN39" s="31"/>
      <c r="EO39" s="31"/>
      <c r="EP39" s="31"/>
      <c r="EQ39" s="31"/>
      <c r="ER39" s="31"/>
      <c r="ES39" s="31"/>
      <c r="ET39" s="31"/>
      <c r="EU39" s="31"/>
      <c r="EV39" s="31"/>
      <c r="EW39" s="31"/>
      <c r="EX39" s="31"/>
      <c r="EY39" s="31"/>
      <c r="EZ39" s="31"/>
      <c r="FA39" s="31"/>
      <c r="FB39" s="31"/>
      <c r="FC39" s="31"/>
      <c r="FD39" s="31"/>
      <c r="FE39" s="31"/>
      <c r="FF39" s="31"/>
      <c r="FG39" s="31"/>
      <c r="FH39" s="31"/>
      <c r="FI39" s="31"/>
      <c r="FJ39" s="31"/>
      <c r="FK39" s="31"/>
      <c r="FL39" s="31"/>
      <c r="FM39" s="31"/>
      <c r="FN39" s="31"/>
      <c r="FO39" s="31"/>
      <c r="FP39" s="31"/>
      <c r="FQ39" s="31"/>
      <c r="FR39" s="31"/>
      <c r="FS39" s="31"/>
      <c r="FT39" s="31"/>
      <c r="FU39" s="31"/>
      <c r="FV39" s="31"/>
      <c r="FW39" s="31"/>
      <c r="FX39" s="31"/>
      <c r="FY39" s="31"/>
      <c r="FZ39" s="31"/>
      <c r="GA39" s="31"/>
      <c r="GB39" s="31"/>
      <c r="GC39" s="31"/>
      <c r="GD39" s="31"/>
      <c r="GE39" s="31"/>
      <c r="GF39" s="31"/>
      <c r="GG39" s="31"/>
      <c r="GH39" s="31"/>
      <c r="GI39" s="31"/>
      <c r="GJ39" s="31"/>
      <c r="GK39" s="31"/>
      <c r="GL39" s="31"/>
      <c r="GM39" s="31"/>
      <c r="GN39" s="31"/>
      <c r="GO39" s="31"/>
      <c r="GP39" s="31"/>
      <c r="GQ39" s="31"/>
      <c r="GR39" s="31"/>
      <c r="GS39" s="31"/>
      <c r="GT39" s="31"/>
      <c r="GU39" s="31"/>
      <c r="GV39" s="31"/>
      <c r="GW39" s="31"/>
      <c r="GX39" s="31"/>
      <c r="GY39" s="31"/>
      <c r="GZ39" s="31"/>
      <c r="HA39" s="31"/>
      <c r="HB39" s="31"/>
      <c r="HC39" s="31"/>
      <c r="HD39" s="31"/>
      <c r="HE39" s="31"/>
      <c r="HF39" s="31"/>
      <c r="HG39" s="31"/>
      <c r="HH39" s="31"/>
      <c r="HI39" s="31"/>
      <c r="HJ39" s="31"/>
      <c r="HK39" s="31"/>
      <c r="HL39" s="31"/>
      <c r="HM39" s="31"/>
      <c r="HN39" s="31"/>
      <c r="HO39" s="31"/>
      <c r="HP39" s="31"/>
      <c r="HQ39" s="31"/>
      <c r="HR39" s="31"/>
      <c r="HS39" s="31"/>
      <c r="HT39" s="31"/>
      <c r="HU39" s="31"/>
      <c r="HV39" s="31"/>
      <c r="HW39" s="31"/>
      <c r="HX39" s="31"/>
      <c r="HY39" s="31"/>
      <c r="HZ39" s="31"/>
      <c r="IA39" s="31"/>
      <c r="IB39" s="31"/>
      <c r="IC39" s="31"/>
      <c r="ID39" s="31"/>
      <c r="IE39" s="31"/>
      <c r="IF39" s="31"/>
      <c r="IG39" s="31"/>
      <c r="IH39" s="31"/>
      <c r="II39" s="31"/>
      <c r="IJ39" s="31"/>
      <c r="IK39" s="31"/>
      <c r="IL39" s="31"/>
      <c r="IM39" s="31"/>
      <c r="IN39" s="31"/>
      <c r="IO39" s="31"/>
      <c r="IP39" s="31"/>
      <c r="IQ39" s="31"/>
      <c r="IR39" s="31"/>
      <c r="IS39" s="31"/>
      <c r="IT39" s="31"/>
      <c r="IU39" s="31"/>
      <c r="IV39" s="31"/>
      <c r="IW39" s="31"/>
      <c r="IX39" s="31"/>
      <c r="IY39" s="31"/>
      <c r="IZ39" s="31"/>
      <c r="JA39" s="31"/>
      <c r="JB39" s="31"/>
      <c r="JC39" s="31"/>
      <c r="JD39" s="31"/>
      <c r="JE39" s="31"/>
      <c r="JF39" s="31"/>
      <c r="JG39" s="31"/>
      <c r="JH39" s="31"/>
      <c r="JI39" s="31"/>
      <c r="JJ39" s="31"/>
      <c r="JK39" s="31"/>
      <c r="JL39" s="31"/>
      <c r="JM39" s="31"/>
      <c r="JN39" s="31"/>
      <c r="JO39" s="31"/>
      <c r="JP39" s="31"/>
      <c r="JQ39" s="31"/>
      <c r="JR39" s="31"/>
      <c r="JS39" s="31"/>
      <c r="JT39" s="31"/>
      <c r="JU39" s="31"/>
      <c r="JV39" s="31"/>
      <c r="JW39" s="31"/>
      <c r="JX39" s="31"/>
      <c r="JY39" s="31"/>
      <c r="JZ39" s="31"/>
      <c r="KA39" s="31"/>
      <c r="KB39" s="31"/>
      <c r="KC39" s="31"/>
      <c r="KD39" s="31"/>
      <c r="KE39" s="31"/>
      <c r="KF39" s="31"/>
      <c r="KG39" s="31"/>
      <c r="KH39" s="31"/>
      <c r="KI39" s="31"/>
      <c r="KJ39" s="31"/>
      <c r="KK39" s="31"/>
      <c r="KL39" s="31"/>
      <c r="KM39" s="31"/>
      <c r="KN39" s="31"/>
      <c r="KO39" s="31"/>
      <c r="KP39" s="31"/>
      <c r="KQ39" s="31"/>
      <c r="KR39" s="31"/>
      <c r="KS39" s="31"/>
      <c r="KT39" s="31"/>
      <c r="KU39" s="31"/>
      <c r="KV39" s="31"/>
      <c r="KW39" s="31"/>
      <c r="KX39" s="31"/>
      <c r="KY39" s="31"/>
      <c r="KZ39" s="31"/>
      <c r="LA39" s="31"/>
      <c r="LB39" s="31"/>
      <c r="LC39" s="31"/>
      <c r="LD39" s="31"/>
      <c r="LE39" s="31"/>
      <c r="LF39" s="31"/>
      <c r="LG39" s="31"/>
      <c r="LH39" s="31"/>
      <c r="LI39" s="31"/>
      <c r="LJ39" s="31"/>
      <c r="LK39" s="31"/>
    </row>
    <row r="40" spans="1:323" s="3" customFormat="1" ht="30" customHeight="1" thickBot="1" x14ac:dyDescent="0.35">
      <c r="A40" s="45"/>
      <c r="B40" s="102" t="s">
        <v>77</v>
      </c>
      <c r="C40" s="54" t="s">
        <v>54</v>
      </c>
      <c r="D40" s="19">
        <v>0</v>
      </c>
      <c r="E40" s="101">
        <v>46235</v>
      </c>
      <c r="F40" s="101">
        <v>46325</v>
      </c>
      <c r="G40" s="14"/>
      <c r="H40" s="14"/>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c r="EG40" s="31"/>
      <c r="EH40" s="31"/>
      <c r="EI40" s="31"/>
      <c r="EJ40" s="31"/>
      <c r="EK40" s="31"/>
      <c r="EL40" s="31"/>
      <c r="EM40" s="31"/>
      <c r="EN40" s="31"/>
      <c r="EO40" s="31"/>
      <c r="EP40" s="31"/>
      <c r="EQ40" s="31"/>
      <c r="ER40" s="31"/>
      <c r="ES40" s="31"/>
      <c r="ET40" s="31"/>
      <c r="EU40" s="31"/>
      <c r="EV40" s="31"/>
      <c r="EW40" s="31"/>
      <c r="EX40" s="31"/>
      <c r="EY40" s="31"/>
      <c r="EZ40" s="31"/>
      <c r="FA40" s="31"/>
      <c r="FB40" s="31"/>
      <c r="FC40" s="31"/>
      <c r="FD40" s="31"/>
      <c r="FE40" s="31"/>
      <c r="FF40" s="31"/>
      <c r="FG40" s="31"/>
      <c r="FH40" s="31"/>
      <c r="FI40" s="31"/>
      <c r="FJ40" s="31"/>
      <c r="FK40" s="31"/>
      <c r="FL40" s="31"/>
      <c r="FM40" s="31"/>
      <c r="FN40" s="31"/>
      <c r="FO40" s="31"/>
      <c r="FP40" s="31"/>
      <c r="FQ40" s="31"/>
      <c r="FR40" s="31"/>
      <c r="FS40" s="31"/>
      <c r="FT40" s="31"/>
      <c r="FU40" s="31"/>
      <c r="FV40" s="31"/>
      <c r="FW40" s="31"/>
      <c r="FX40" s="31"/>
      <c r="FY40" s="31"/>
      <c r="FZ40" s="31"/>
      <c r="GA40" s="31"/>
      <c r="GB40" s="31"/>
      <c r="GC40" s="31"/>
      <c r="GD40" s="31"/>
      <c r="GE40" s="31"/>
      <c r="GF40" s="31"/>
      <c r="GG40" s="31"/>
      <c r="GH40" s="31"/>
      <c r="GI40" s="31"/>
      <c r="GJ40" s="31"/>
      <c r="GK40" s="31"/>
      <c r="GL40" s="31"/>
      <c r="GM40" s="31"/>
      <c r="GN40" s="31"/>
      <c r="GO40" s="31"/>
      <c r="GP40" s="31"/>
      <c r="GQ40" s="31"/>
      <c r="GR40" s="31"/>
      <c r="GS40" s="31"/>
      <c r="GT40" s="31"/>
      <c r="GU40" s="31"/>
      <c r="GV40" s="31"/>
      <c r="GW40" s="31"/>
      <c r="GX40" s="31"/>
      <c r="GY40" s="31"/>
      <c r="GZ40" s="31"/>
      <c r="HA40" s="31"/>
      <c r="HB40" s="31"/>
      <c r="HC40" s="31"/>
      <c r="HD40" s="31"/>
      <c r="HE40" s="31"/>
      <c r="HF40" s="31"/>
      <c r="HG40" s="31"/>
      <c r="HH40" s="31"/>
      <c r="HI40" s="31"/>
      <c r="HJ40" s="31"/>
      <c r="HK40" s="31"/>
      <c r="HL40" s="31"/>
      <c r="HM40" s="31"/>
      <c r="HN40" s="31"/>
      <c r="HO40" s="31"/>
      <c r="HP40" s="31"/>
      <c r="HQ40" s="31"/>
      <c r="HR40" s="31"/>
      <c r="HS40" s="31"/>
      <c r="HT40" s="31"/>
      <c r="HU40" s="31"/>
      <c r="HV40" s="31"/>
      <c r="HW40" s="31"/>
      <c r="HX40" s="31"/>
      <c r="HY40" s="31"/>
      <c r="HZ40" s="31"/>
      <c r="IA40" s="31"/>
      <c r="IB40" s="31"/>
      <c r="IC40" s="31"/>
      <c r="ID40" s="31"/>
      <c r="IE40" s="31"/>
      <c r="IF40" s="31"/>
      <c r="IG40" s="31"/>
      <c r="IH40" s="31"/>
      <c r="II40" s="31"/>
      <c r="IJ40" s="31"/>
      <c r="IK40" s="31"/>
      <c r="IL40" s="31"/>
      <c r="IM40" s="31"/>
      <c r="IN40" s="31"/>
      <c r="IO40" s="31"/>
      <c r="IP40" s="31"/>
      <c r="IQ40" s="31"/>
      <c r="IR40" s="31"/>
      <c r="IS40" s="31"/>
      <c r="IT40" s="31"/>
      <c r="IU40" s="31"/>
      <c r="IV40" s="31"/>
      <c r="IW40" s="31"/>
      <c r="IX40" s="31"/>
      <c r="IY40" s="31"/>
      <c r="IZ40" s="31"/>
      <c r="JA40" s="31"/>
      <c r="JB40" s="31"/>
      <c r="JC40" s="31"/>
      <c r="JD40" s="31"/>
      <c r="JE40" s="31"/>
      <c r="JF40" s="31"/>
      <c r="JG40" s="31"/>
      <c r="JH40" s="31"/>
      <c r="JI40" s="31"/>
      <c r="JJ40" s="31"/>
      <c r="JK40" s="31"/>
      <c r="JL40" s="31"/>
      <c r="JM40" s="31"/>
      <c r="JN40" s="31"/>
      <c r="JO40" s="31"/>
      <c r="JP40" s="31"/>
      <c r="JQ40" s="31"/>
      <c r="JR40" s="31"/>
      <c r="JS40" s="31"/>
      <c r="JT40" s="31"/>
      <c r="JU40" s="31"/>
      <c r="JV40" s="31"/>
      <c r="JW40" s="31"/>
      <c r="JX40" s="31"/>
      <c r="JY40" s="31"/>
      <c r="JZ40" s="31"/>
      <c r="KA40" s="31"/>
      <c r="KB40" s="31"/>
      <c r="KC40" s="31"/>
      <c r="KD40" s="31"/>
      <c r="KE40" s="31"/>
      <c r="KF40" s="31"/>
      <c r="KG40" s="31"/>
      <c r="KH40" s="31"/>
      <c r="KI40" s="31"/>
      <c r="KJ40" s="31"/>
      <c r="KK40" s="31"/>
      <c r="KL40" s="31"/>
      <c r="KM40" s="31"/>
      <c r="KN40" s="31"/>
      <c r="KO40" s="31"/>
      <c r="KP40" s="31"/>
      <c r="KQ40" s="31"/>
      <c r="KR40" s="31"/>
      <c r="KS40" s="31"/>
      <c r="KT40" s="31"/>
      <c r="KU40" s="31"/>
      <c r="KV40" s="31"/>
      <c r="KW40" s="31"/>
      <c r="KX40" s="31"/>
      <c r="KY40" s="31"/>
      <c r="KZ40" s="31"/>
      <c r="LA40" s="31"/>
      <c r="LB40" s="31"/>
      <c r="LC40" s="31"/>
      <c r="LD40" s="31"/>
      <c r="LE40" s="31"/>
      <c r="LF40" s="31"/>
      <c r="LG40" s="31"/>
      <c r="LH40" s="31"/>
      <c r="LI40" s="31"/>
      <c r="LJ40" s="31"/>
      <c r="LK40" s="31"/>
    </row>
    <row r="41" spans="1:323" s="3" customFormat="1" ht="30" customHeight="1" thickBot="1" x14ac:dyDescent="0.35">
      <c r="A41" s="45"/>
      <c r="B41" s="103" t="s">
        <v>78</v>
      </c>
      <c r="C41" s="53"/>
      <c r="D41" s="17"/>
      <c r="E41" s="72"/>
      <c r="F41" s="72"/>
      <c r="G41" s="14"/>
      <c r="H41" s="14"/>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c r="EG41" s="31"/>
      <c r="EH41" s="31"/>
      <c r="EI41" s="31"/>
      <c r="EJ41" s="31"/>
      <c r="EK41" s="31"/>
      <c r="EL41" s="31"/>
      <c r="EM41" s="31"/>
      <c r="EN41" s="31"/>
      <c r="EO41" s="31"/>
      <c r="EP41" s="31"/>
      <c r="EQ41" s="31"/>
      <c r="ER41" s="31"/>
      <c r="ES41" s="31"/>
      <c r="ET41" s="31"/>
      <c r="EU41" s="31"/>
      <c r="EV41" s="31"/>
      <c r="EW41" s="31"/>
      <c r="EX41" s="31"/>
      <c r="EY41" s="31"/>
      <c r="EZ41" s="31"/>
      <c r="FA41" s="31"/>
      <c r="FB41" s="31"/>
      <c r="FC41" s="31"/>
      <c r="FD41" s="31"/>
      <c r="FE41" s="31"/>
      <c r="FF41" s="31"/>
      <c r="FG41" s="31"/>
      <c r="FH41" s="31"/>
      <c r="FI41" s="31"/>
      <c r="FJ41" s="31"/>
      <c r="FK41" s="31"/>
      <c r="FL41" s="31"/>
      <c r="FM41" s="31"/>
      <c r="FN41" s="31"/>
      <c r="FO41" s="31"/>
      <c r="FP41" s="31"/>
      <c r="FQ41" s="31"/>
      <c r="FR41" s="31"/>
      <c r="FS41" s="31"/>
      <c r="FT41" s="31"/>
      <c r="FU41" s="31"/>
      <c r="FV41" s="31"/>
      <c r="FW41" s="31"/>
      <c r="FX41" s="31"/>
      <c r="FY41" s="31"/>
      <c r="FZ41" s="31"/>
      <c r="GA41" s="31"/>
      <c r="GB41" s="31"/>
      <c r="GC41" s="31"/>
      <c r="GD41" s="31"/>
      <c r="GE41" s="31"/>
      <c r="GF41" s="31"/>
      <c r="GG41" s="31"/>
      <c r="GH41" s="31"/>
      <c r="GI41" s="31"/>
      <c r="GJ41" s="31"/>
      <c r="GK41" s="31"/>
      <c r="GL41" s="31"/>
      <c r="GM41" s="31"/>
      <c r="GN41" s="31"/>
      <c r="GO41" s="31"/>
      <c r="GP41" s="31"/>
      <c r="GQ41" s="31"/>
      <c r="GR41" s="31"/>
      <c r="GS41" s="31"/>
      <c r="GT41" s="31"/>
      <c r="GU41" s="31"/>
      <c r="GV41" s="31"/>
      <c r="GW41" s="31"/>
      <c r="GX41" s="31"/>
      <c r="GY41" s="31"/>
      <c r="GZ41" s="31"/>
      <c r="HA41" s="31"/>
      <c r="HB41" s="31"/>
      <c r="HC41" s="31"/>
      <c r="HD41" s="31"/>
      <c r="HE41" s="31"/>
      <c r="HF41" s="31"/>
      <c r="HG41" s="31"/>
      <c r="HH41" s="31"/>
      <c r="HI41" s="31"/>
      <c r="HJ41" s="31"/>
      <c r="HK41" s="31"/>
      <c r="HL41" s="31"/>
      <c r="HM41" s="31"/>
      <c r="HN41" s="31"/>
      <c r="HO41" s="31"/>
      <c r="HP41" s="31"/>
      <c r="HQ41" s="31"/>
      <c r="HR41" s="31"/>
      <c r="HS41" s="31"/>
      <c r="HT41" s="31"/>
      <c r="HU41" s="31"/>
      <c r="HV41" s="31"/>
      <c r="HW41" s="31"/>
      <c r="HX41" s="31"/>
      <c r="HY41" s="31"/>
      <c r="HZ41" s="31"/>
      <c r="IA41" s="31"/>
      <c r="IB41" s="31"/>
      <c r="IC41" s="31"/>
      <c r="ID41" s="31"/>
      <c r="IE41" s="31"/>
      <c r="IF41" s="31"/>
      <c r="IG41" s="31"/>
      <c r="IH41" s="31"/>
      <c r="II41" s="31"/>
      <c r="IJ41" s="31"/>
      <c r="IK41" s="31"/>
      <c r="IL41" s="31"/>
      <c r="IM41" s="31"/>
      <c r="IN41" s="31"/>
      <c r="IO41" s="31"/>
      <c r="IP41" s="31"/>
      <c r="IQ41" s="31"/>
      <c r="IR41" s="31"/>
      <c r="IS41" s="31"/>
      <c r="IT41" s="31"/>
      <c r="IU41" s="31"/>
      <c r="IV41" s="31"/>
      <c r="IW41" s="31"/>
      <c r="IX41" s="31"/>
      <c r="IY41" s="31"/>
      <c r="IZ41" s="31"/>
      <c r="JA41" s="31"/>
      <c r="JB41" s="31"/>
      <c r="JC41" s="31"/>
      <c r="JD41" s="31"/>
      <c r="JE41" s="31"/>
      <c r="JF41" s="31"/>
      <c r="JG41" s="31"/>
      <c r="JH41" s="31"/>
      <c r="JI41" s="31"/>
      <c r="JJ41" s="31"/>
      <c r="JK41" s="31"/>
      <c r="JL41" s="31"/>
      <c r="JM41" s="31"/>
      <c r="JN41" s="31"/>
      <c r="JO41" s="31"/>
      <c r="JP41" s="31"/>
      <c r="JQ41" s="31"/>
      <c r="JR41" s="31"/>
      <c r="JS41" s="31"/>
      <c r="JT41" s="31"/>
      <c r="JU41" s="31"/>
      <c r="JV41" s="31"/>
      <c r="JW41" s="31"/>
      <c r="JX41" s="31"/>
      <c r="JY41" s="31"/>
      <c r="JZ41" s="31"/>
      <c r="KA41" s="31"/>
      <c r="KB41" s="31"/>
      <c r="KC41" s="31"/>
      <c r="KD41" s="31"/>
      <c r="KE41" s="31"/>
      <c r="KF41" s="31"/>
      <c r="KG41" s="31"/>
      <c r="KH41" s="31"/>
      <c r="KI41" s="31"/>
      <c r="KJ41" s="31"/>
      <c r="KK41" s="31"/>
      <c r="KL41" s="31"/>
      <c r="KM41" s="31"/>
      <c r="KN41" s="31"/>
      <c r="KO41" s="31"/>
      <c r="KP41" s="31"/>
      <c r="KQ41" s="31"/>
      <c r="KR41" s="31"/>
      <c r="KS41" s="31"/>
      <c r="KT41" s="31"/>
      <c r="KU41" s="31"/>
      <c r="KV41" s="31"/>
      <c r="KW41" s="31"/>
      <c r="KX41" s="31"/>
      <c r="KY41" s="31"/>
      <c r="KZ41" s="31"/>
      <c r="LA41" s="31"/>
      <c r="LB41" s="31"/>
      <c r="LC41" s="31"/>
      <c r="LD41" s="31"/>
      <c r="LE41" s="31"/>
      <c r="LF41" s="31"/>
      <c r="LG41" s="31"/>
      <c r="LH41" s="31"/>
      <c r="LI41" s="31"/>
      <c r="LJ41" s="31"/>
      <c r="LK41" s="31"/>
    </row>
    <row r="42" spans="1:323" s="3" customFormat="1" ht="30" customHeight="1" thickBot="1" x14ac:dyDescent="0.35">
      <c r="A42" s="45"/>
      <c r="B42" s="61" t="s">
        <v>79</v>
      </c>
      <c r="C42" s="53" t="s">
        <v>54</v>
      </c>
      <c r="D42" s="17">
        <v>0</v>
      </c>
      <c r="E42" s="72">
        <v>46235</v>
      </c>
      <c r="F42" s="72">
        <v>46325</v>
      </c>
      <c r="G42" s="14"/>
      <c r="H42" s="14"/>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c r="EG42" s="31"/>
      <c r="EH42" s="31"/>
      <c r="EI42" s="31"/>
      <c r="EJ42" s="31"/>
      <c r="EK42" s="31"/>
      <c r="EL42" s="31"/>
      <c r="EM42" s="31"/>
      <c r="EN42" s="31"/>
      <c r="EO42" s="31"/>
      <c r="EP42" s="31"/>
      <c r="EQ42" s="31"/>
      <c r="ER42" s="31"/>
      <c r="ES42" s="31"/>
      <c r="ET42" s="31"/>
      <c r="EU42" s="31"/>
      <c r="EV42" s="31"/>
      <c r="EW42" s="31"/>
      <c r="EX42" s="31"/>
      <c r="EY42" s="31"/>
      <c r="EZ42" s="31"/>
      <c r="FA42" s="31"/>
      <c r="FB42" s="31"/>
      <c r="FC42" s="31"/>
      <c r="FD42" s="31"/>
      <c r="FE42" s="31"/>
      <c r="FF42" s="31"/>
      <c r="FG42" s="31"/>
      <c r="FH42" s="31"/>
      <c r="FI42" s="31"/>
      <c r="FJ42" s="31"/>
      <c r="FK42" s="31"/>
      <c r="FL42" s="31"/>
      <c r="FM42" s="31"/>
      <c r="FN42" s="31"/>
      <c r="FO42" s="31"/>
      <c r="FP42" s="31"/>
      <c r="FQ42" s="31"/>
      <c r="FR42" s="31"/>
      <c r="FS42" s="31"/>
      <c r="FT42" s="31"/>
      <c r="FU42" s="31"/>
      <c r="FV42" s="31"/>
      <c r="FW42" s="31"/>
      <c r="FX42" s="31"/>
      <c r="FY42" s="31"/>
      <c r="FZ42" s="31"/>
      <c r="GA42" s="31"/>
      <c r="GB42" s="31"/>
      <c r="GC42" s="31"/>
      <c r="GD42" s="31"/>
      <c r="GE42" s="31"/>
      <c r="GF42" s="31"/>
      <c r="GG42" s="31"/>
      <c r="GH42" s="31"/>
      <c r="GI42" s="31"/>
      <c r="GJ42" s="31"/>
      <c r="GK42" s="31"/>
      <c r="GL42" s="31"/>
      <c r="GM42" s="31"/>
      <c r="GN42" s="31"/>
      <c r="GO42" s="31"/>
      <c r="GP42" s="31"/>
      <c r="GQ42" s="31"/>
      <c r="GR42" s="31"/>
      <c r="GS42" s="31"/>
      <c r="GT42" s="31"/>
      <c r="GU42" s="31"/>
      <c r="GV42" s="31"/>
      <c r="GW42" s="31"/>
      <c r="GX42" s="31"/>
      <c r="GY42" s="31"/>
      <c r="GZ42" s="31"/>
      <c r="HA42" s="31"/>
      <c r="HB42" s="31"/>
      <c r="HC42" s="31"/>
      <c r="HD42" s="31"/>
      <c r="HE42" s="31"/>
      <c r="HF42" s="31"/>
      <c r="HG42" s="31"/>
      <c r="HH42" s="31"/>
      <c r="HI42" s="31"/>
      <c r="HJ42" s="31"/>
      <c r="HK42" s="31"/>
      <c r="HL42" s="31"/>
      <c r="HM42" s="31"/>
      <c r="HN42" s="31"/>
      <c r="HO42" s="31"/>
      <c r="HP42" s="31"/>
      <c r="HQ42" s="31"/>
      <c r="HR42" s="31"/>
      <c r="HS42" s="31"/>
      <c r="HT42" s="31"/>
      <c r="HU42" s="31"/>
      <c r="HV42" s="31"/>
      <c r="HW42" s="31"/>
      <c r="HX42" s="31"/>
      <c r="HY42" s="31"/>
      <c r="HZ42" s="31"/>
      <c r="IA42" s="31"/>
      <c r="IB42" s="31"/>
      <c r="IC42" s="31"/>
      <c r="ID42" s="31"/>
      <c r="IE42" s="31"/>
      <c r="IF42" s="31"/>
      <c r="IG42" s="31"/>
      <c r="IH42" s="31"/>
      <c r="II42" s="31"/>
      <c r="IJ42" s="31"/>
      <c r="IK42" s="31"/>
      <c r="IL42" s="31"/>
      <c r="IM42" s="31"/>
      <c r="IN42" s="31"/>
      <c r="IO42" s="31"/>
      <c r="IP42" s="31"/>
      <c r="IQ42" s="31"/>
      <c r="IR42" s="31"/>
      <c r="IS42" s="31"/>
      <c r="IT42" s="31"/>
      <c r="IU42" s="31"/>
      <c r="IV42" s="31"/>
      <c r="IW42" s="31"/>
      <c r="IX42" s="31"/>
      <c r="IY42" s="31"/>
      <c r="IZ42" s="31"/>
      <c r="JA42" s="31"/>
      <c r="JB42" s="31"/>
      <c r="JC42" s="31"/>
      <c r="JD42" s="31"/>
      <c r="JE42" s="31"/>
      <c r="JF42" s="31"/>
      <c r="JG42" s="31"/>
      <c r="JH42" s="31"/>
      <c r="JI42" s="31"/>
      <c r="JJ42" s="31"/>
      <c r="JK42" s="31"/>
      <c r="JL42" s="31"/>
      <c r="JM42" s="31"/>
      <c r="JN42" s="31"/>
      <c r="JO42" s="31"/>
      <c r="JP42" s="31"/>
      <c r="JQ42" s="31"/>
      <c r="JR42" s="31"/>
      <c r="JS42" s="31"/>
      <c r="JT42" s="31"/>
      <c r="JU42" s="31"/>
      <c r="JV42" s="31"/>
      <c r="JW42" s="31"/>
      <c r="JX42" s="31"/>
      <c r="JY42" s="31"/>
      <c r="JZ42" s="31"/>
      <c r="KA42" s="31"/>
      <c r="KB42" s="31"/>
      <c r="KC42" s="31"/>
      <c r="KD42" s="31"/>
      <c r="KE42" s="31"/>
      <c r="KF42" s="31"/>
      <c r="KG42" s="31"/>
      <c r="KH42" s="31"/>
      <c r="KI42" s="31"/>
      <c r="KJ42" s="31"/>
      <c r="KK42" s="31"/>
      <c r="KL42" s="31"/>
      <c r="KM42" s="31"/>
      <c r="KN42" s="31"/>
      <c r="KO42" s="31"/>
      <c r="KP42" s="31"/>
      <c r="KQ42" s="31"/>
      <c r="KR42" s="31"/>
      <c r="KS42" s="31"/>
      <c r="KT42" s="31"/>
      <c r="KU42" s="31"/>
      <c r="KV42" s="31"/>
      <c r="KW42" s="31"/>
      <c r="KX42" s="31"/>
      <c r="KY42" s="31"/>
      <c r="KZ42" s="31"/>
      <c r="LA42" s="31"/>
      <c r="LB42" s="31"/>
      <c r="LC42" s="31"/>
      <c r="LD42" s="31"/>
      <c r="LE42" s="31"/>
      <c r="LF42" s="31"/>
      <c r="LG42" s="31"/>
      <c r="LH42" s="31"/>
      <c r="LI42" s="31"/>
      <c r="LJ42" s="31"/>
      <c r="LK42" s="31"/>
    </row>
    <row r="43" spans="1:323" s="3" customFormat="1" ht="30" customHeight="1" thickBot="1" x14ac:dyDescent="0.35">
      <c r="A43" s="45"/>
      <c r="B43" s="65"/>
      <c r="C43" s="60"/>
      <c r="D43" s="13"/>
      <c r="E43" s="82"/>
      <c r="F43" s="82"/>
      <c r="G43" s="14"/>
      <c r="H43" s="14"/>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c r="EG43" s="31"/>
      <c r="EH43" s="31"/>
      <c r="EI43" s="31"/>
      <c r="EJ43" s="31"/>
      <c r="EK43" s="31"/>
      <c r="EL43" s="31"/>
      <c r="EM43" s="31"/>
      <c r="EN43" s="31"/>
      <c r="EO43" s="31"/>
      <c r="EP43" s="31"/>
      <c r="EQ43" s="31"/>
      <c r="ER43" s="31"/>
      <c r="ES43" s="31"/>
      <c r="ET43" s="31"/>
      <c r="EU43" s="31"/>
      <c r="EV43" s="31"/>
      <c r="EW43" s="31"/>
      <c r="EX43" s="31"/>
      <c r="EY43" s="31"/>
      <c r="EZ43" s="31"/>
      <c r="FA43" s="31"/>
      <c r="FB43" s="31"/>
      <c r="FC43" s="31"/>
      <c r="FD43" s="31"/>
      <c r="FE43" s="31"/>
      <c r="FF43" s="31"/>
      <c r="FG43" s="31"/>
      <c r="FH43" s="31"/>
      <c r="FI43" s="31"/>
      <c r="FJ43" s="31"/>
      <c r="FK43" s="31"/>
      <c r="FL43" s="31"/>
      <c r="FM43" s="31"/>
      <c r="FN43" s="31"/>
      <c r="FO43" s="31"/>
      <c r="FP43" s="31"/>
      <c r="FQ43" s="31"/>
      <c r="FR43" s="31"/>
      <c r="FS43" s="31"/>
      <c r="FT43" s="31"/>
      <c r="FU43" s="31"/>
      <c r="FV43" s="31"/>
      <c r="FW43" s="31"/>
      <c r="FX43" s="31"/>
      <c r="FY43" s="31"/>
      <c r="FZ43" s="31"/>
      <c r="GA43" s="31"/>
      <c r="GB43" s="31"/>
      <c r="GC43" s="31"/>
      <c r="GD43" s="31"/>
      <c r="GE43" s="31"/>
      <c r="GF43" s="31"/>
      <c r="GG43" s="31"/>
      <c r="GH43" s="31"/>
      <c r="GI43" s="31"/>
      <c r="GJ43" s="31"/>
      <c r="GK43" s="31"/>
      <c r="GL43" s="31"/>
      <c r="GM43" s="31"/>
      <c r="GN43" s="31"/>
      <c r="GO43" s="31"/>
      <c r="GP43" s="31"/>
      <c r="GQ43" s="31"/>
      <c r="GR43" s="31"/>
      <c r="GS43" s="31"/>
      <c r="GT43" s="31"/>
      <c r="GU43" s="31"/>
      <c r="GV43" s="31"/>
      <c r="GW43" s="31"/>
      <c r="GX43" s="31"/>
      <c r="GY43" s="31"/>
      <c r="GZ43" s="31"/>
      <c r="HA43" s="31"/>
      <c r="HB43" s="31"/>
      <c r="HC43" s="31"/>
      <c r="HD43" s="31"/>
      <c r="HE43" s="31"/>
      <c r="HF43" s="31"/>
      <c r="HG43" s="31"/>
      <c r="HH43" s="31"/>
      <c r="HI43" s="31"/>
      <c r="HJ43" s="31"/>
      <c r="HK43" s="31"/>
      <c r="HL43" s="31"/>
      <c r="HM43" s="31"/>
      <c r="HN43" s="31"/>
      <c r="HO43" s="31"/>
      <c r="HP43" s="31"/>
      <c r="HQ43" s="31"/>
      <c r="HR43" s="31"/>
      <c r="HS43" s="31"/>
      <c r="HT43" s="31"/>
      <c r="HU43" s="31"/>
      <c r="HV43" s="31"/>
      <c r="HW43" s="31"/>
      <c r="HX43" s="31"/>
      <c r="HY43" s="31"/>
      <c r="HZ43" s="31"/>
      <c r="IA43" s="31"/>
      <c r="IB43" s="31"/>
      <c r="IC43" s="31"/>
      <c r="ID43" s="31"/>
      <c r="IE43" s="31"/>
      <c r="IF43" s="31"/>
      <c r="IG43" s="31"/>
      <c r="IH43" s="31"/>
      <c r="II43" s="31"/>
      <c r="IJ43" s="31"/>
      <c r="IK43" s="31"/>
      <c r="IL43" s="31"/>
      <c r="IM43" s="31"/>
      <c r="IN43" s="31"/>
      <c r="IO43" s="31"/>
      <c r="IP43" s="31"/>
      <c r="IQ43" s="31"/>
      <c r="IR43" s="31"/>
      <c r="IS43" s="31"/>
      <c r="IT43" s="31"/>
      <c r="IU43" s="31"/>
      <c r="IV43" s="31"/>
      <c r="IW43" s="31"/>
      <c r="IX43" s="31"/>
      <c r="IY43" s="31"/>
      <c r="IZ43" s="31"/>
      <c r="JA43" s="31"/>
      <c r="JB43" s="31"/>
      <c r="JC43" s="31"/>
      <c r="JD43" s="31"/>
      <c r="JE43" s="31"/>
      <c r="JF43" s="31"/>
      <c r="JG43" s="31"/>
      <c r="JH43" s="31"/>
      <c r="JI43" s="31"/>
      <c r="JJ43" s="31"/>
      <c r="JK43" s="31"/>
      <c r="JL43" s="31"/>
      <c r="JM43" s="31"/>
      <c r="JN43" s="31"/>
      <c r="JO43" s="31"/>
      <c r="JP43" s="31"/>
      <c r="JQ43" s="31"/>
      <c r="JR43" s="31"/>
      <c r="JS43" s="31"/>
      <c r="JT43" s="31"/>
      <c r="JU43" s="31"/>
      <c r="JV43" s="31"/>
      <c r="JW43" s="31"/>
      <c r="JX43" s="31"/>
      <c r="JY43" s="31"/>
      <c r="JZ43" s="31"/>
      <c r="KA43" s="31"/>
      <c r="KB43" s="31"/>
      <c r="KC43" s="31"/>
      <c r="KD43" s="31"/>
      <c r="KE43" s="31"/>
      <c r="KF43" s="31"/>
      <c r="KG43" s="31"/>
      <c r="KH43" s="31"/>
      <c r="KI43" s="31"/>
      <c r="KJ43" s="31"/>
      <c r="KK43" s="31"/>
      <c r="KL43" s="31"/>
      <c r="KM43" s="31"/>
      <c r="KN43" s="31"/>
      <c r="KO43" s="31"/>
      <c r="KP43" s="31"/>
      <c r="KQ43" s="31"/>
      <c r="KR43" s="31"/>
      <c r="KS43" s="31"/>
      <c r="KT43" s="31"/>
      <c r="KU43" s="31"/>
      <c r="KV43" s="31"/>
      <c r="KW43" s="31"/>
      <c r="KX43" s="31"/>
      <c r="KY43" s="31"/>
      <c r="KZ43" s="31"/>
      <c r="LA43" s="31"/>
      <c r="LB43" s="31"/>
      <c r="LC43" s="31"/>
      <c r="LD43" s="31"/>
      <c r="LE43" s="31"/>
      <c r="LF43" s="31"/>
      <c r="LG43" s="31"/>
      <c r="LH43" s="31"/>
      <c r="LI43" s="31"/>
      <c r="LJ43" s="31"/>
      <c r="LK43" s="31"/>
    </row>
    <row r="44" spans="1:323" s="3" customFormat="1" ht="30" customHeight="1" thickBot="1" x14ac:dyDescent="0.35">
      <c r="A44" s="45"/>
      <c r="B44" s="65"/>
      <c r="C44" s="60"/>
      <c r="D44" s="13"/>
      <c r="E44" s="82"/>
      <c r="F44" s="82"/>
      <c r="G44" s="14"/>
      <c r="H44" s="14"/>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c r="EG44" s="31"/>
      <c r="EH44" s="31"/>
      <c r="EI44" s="31"/>
      <c r="EJ44" s="31"/>
      <c r="EK44" s="31"/>
      <c r="EL44" s="31"/>
      <c r="EM44" s="31"/>
      <c r="EN44" s="31"/>
      <c r="EO44" s="31"/>
      <c r="EP44" s="31"/>
      <c r="EQ44" s="31"/>
      <c r="ER44" s="31"/>
      <c r="ES44" s="31"/>
      <c r="ET44" s="31"/>
      <c r="EU44" s="31"/>
      <c r="EV44" s="31"/>
      <c r="EW44" s="31"/>
      <c r="EX44" s="31"/>
      <c r="EY44" s="31"/>
      <c r="EZ44" s="31"/>
      <c r="FA44" s="31"/>
      <c r="FB44" s="31"/>
      <c r="FC44" s="31"/>
      <c r="FD44" s="31"/>
      <c r="FE44" s="31"/>
      <c r="FF44" s="31"/>
      <c r="FG44" s="31"/>
      <c r="FH44" s="31"/>
      <c r="FI44" s="31"/>
      <c r="FJ44" s="31"/>
      <c r="FK44" s="31"/>
      <c r="FL44" s="31"/>
      <c r="FM44" s="31"/>
      <c r="FN44" s="31"/>
      <c r="FO44" s="31"/>
      <c r="FP44" s="31"/>
      <c r="FQ44" s="31"/>
      <c r="FR44" s="31"/>
      <c r="FS44" s="31"/>
      <c r="FT44" s="31"/>
      <c r="FU44" s="31"/>
      <c r="FV44" s="31"/>
      <c r="FW44" s="31"/>
      <c r="FX44" s="31"/>
      <c r="FY44" s="31"/>
      <c r="FZ44" s="31"/>
      <c r="GA44" s="31"/>
      <c r="GB44" s="31"/>
      <c r="GC44" s="31"/>
      <c r="GD44" s="31"/>
      <c r="GE44" s="31"/>
      <c r="GF44" s="31"/>
      <c r="GG44" s="31"/>
      <c r="GH44" s="31"/>
      <c r="GI44" s="31"/>
      <c r="GJ44" s="31"/>
      <c r="GK44" s="31"/>
      <c r="GL44" s="31"/>
      <c r="GM44" s="31"/>
      <c r="GN44" s="31"/>
      <c r="GO44" s="31"/>
      <c r="GP44" s="31"/>
      <c r="GQ44" s="31"/>
      <c r="GR44" s="31"/>
      <c r="GS44" s="31"/>
      <c r="GT44" s="31"/>
      <c r="GU44" s="31"/>
      <c r="GV44" s="31"/>
      <c r="GW44" s="31"/>
      <c r="GX44" s="31"/>
      <c r="GY44" s="31"/>
      <c r="GZ44" s="31"/>
      <c r="HA44" s="31"/>
      <c r="HB44" s="31"/>
      <c r="HC44" s="31"/>
      <c r="HD44" s="31"/>
      <c r="HE44" s="31"/>
      <c r="HF44" s="31"/>
      <c r="HG44" s="31"/>
      <c r="HH44" s="31"/>
      <c r="HI44" s="31"/>
      <c r="HJ44" s="31"/>
      <c r="HK44" s="31"/>
      <c r="HL44" s="31"/>
      <c r="HM44" s="31"/>
      <c r="HN44" s="31"/>
      <c r="HO44" s="31"/>
      <c r="HP44" s="31"/>
      <c r="HQ44" s="31"/>
      <c r="HR44" s="31"/>
      <c r="HS44" s="31"/>
      <c r="HT44" s="31"/>
      <c r="HU44" s="31"/>
      <c r="HV44" s="31"/>
      <c r="HW44" s="31"/>
      <c r="HX44" s="31"/>
      <c r="HY44" s="31"/>
      <c r="HZ44" s="31"/>
      <c r="IA44" s="31"/>
      <c r="IB44" s="31"/>
      <c r="IC44" s="31"/>
      <c r="ID44" s="31"/>
      <c r="IE44" s="31"/>
      <c r="IF44" s="31"/>
      <c r="IG44" s="31"/>
      <c r="IH44" s="31"/>
      <c r="II44" s="31"/>
      <c r="IJ44" s="31"/>
      <c r="IK44" s="31"/>
      <c r="IL44" s="31"/>
      <c r="IM44" s="31"/>
      <c r="IN44" s="31"/>
      <c r="IO44" s="31"/>
      <c r="IP44" s="31"/>
      <c r="IQ44" s="31"/>
      <c r="IR44" s="31"/>
      <c r="IS44" s="31"/>
      <c r="IT44" s="31"/>
      <c r="IU44" s="31"/>
      <c r="IV44" s="31"/>
      <c r="IW44" s="31"/>
      <c r="IX44" s="31"/>
      <c r="IY44" s="31"/>
      <c r="IZ44" s="31"/>
      <c r="JA44" s="31"/>
      <c r="JB44" s="31"/>
      <c r="JC44" s="31"/>
      <c r="JD44" s="31"/>
      <c r="JE44" s="31"/>
      <c r="JF44" s="31"/>
      <c r="JG44" s="31"/>
      <c r="JH44" s="31"/>
      <c r="JI44" s="31"/>
      <c r="JJ44" s="31"/>
      <c r="JK44" s="31"/>
      <c r="JL44" s="31"/>
      <c r="JM44" s="31"/>
      <c r="JN44" s="31"/>
      <c r="JO44" s="31"/>
      <c r="JP44" s="31"/>
      <c r="JQ44" s="31"/>
      <c r="JR44" s="31"/>
      <c r="JS44" s="31"/>
      <c r="JT44" s="31"/>
      <c r="JU44" s="31"/>
      <c r="JV44" s="31"/>
      <c r="JW44" s="31"/>
      <c r="JX44" s="31"/>
      <c r="JY44" s="31"/>
      <c r="JZ44" s="31"/>
      <c r="KA44" s="31"/>
      <c r="KB44" s="31"/>
      <c r="KC44" s="31"/>
      <c r="KD44" s="31"/>
      <c r="KE44" s="31"/>
      <c r="KF44" s="31"/>
      <c r="KG44" s="31"/>
      <c r="KH44" s="31"/>
      <c r="KI44" s="31"/>
      <c r="KJ44" s="31"/>
      <c r="KK44" s="31"/>
      <c r="KL44" s="31"/>
      <c r="KM44" s="31"/>
      <c r="KN44" s="31"/>
      <c r="KO44" s="31"/>
      <c r="KP44" s="31"/>
      <c r="KQ44" s="31"/>
      <c r="KR44" s="31"/>
      <c r="KS44" s="31"/>
      <c r="KT44" s="31"/>
      <c r="KU44" s="31"/>
      <c r="KV44" s="31"/>
      <c r="KW44" s="31"/>
      <c r="KX44" s="31"/>
      <c r="KY44" s="31"/>
      <c r="KZ44" s="31"/>
      <c r="LA44" s="31"/>
      <c r="LB44" s="31"/>
      <c r="LC44" s="31"/>
      <c r="LD44" s="31"/>
      <c r="LE44" s="31"/>
      <c r="LF44" s="31"/>
      <c r="LG44" s="31"/>
      <c r="LH44" s="31"/>
      <c r="LI44" s="31"/>
      <c r="LJ44" s="31"/>
      <c r="LK44" s="31"/>
    </row>
    <row r="45" spans="1:323" s="3" customFormat="1" ht="30" customHeight="1" thickBot="1" x14ac:dyDescent="0.35">
      <c r="A45" s="46" t="s">
        <v>13</v>
      </c>
      <c r="B45" s="27" t="s">
        <v>15</v>
      </c>
      <c r="C45" s="28"/>
      <c r="D45" s="29"/>
      <c r="E45" s="83"/>
      <c r="F45" s="84"/>
      <c r="G45" s="30"/>
      <c r="H45" s="30" t="str">
        <f t="shared" si="166"/>
        <v/>
      </c>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33"/>
      <c r="FR45" s="33"/>
      <c r="FS45" s="33"/>
      <c r="FT45" s="33"/>
      <c r="FU45" s="33"/>
      <c r="FV45" s="33"/>
      <c r="FW45" s="33"/>
      <c r="FX45" s="33"/>
      <c r="FY45" s="33"/>
      <c r="FZ45" s="33"/>
      <c r="GA45" s="33"/>
      <c r="GB45" s="33"/>
      <c r="GC45" s="33"/>
      <c r="GD45" s="33"/>
      <c r="GE45" s="33"/>
      <c r="GF45" s="33"/>
      <c r="GG45" s="33"/>
      <c r="GH45" s="33"/>
      <c r="GI45" s="33"/>
      <c r="GJ45" s="33"/>
      <c r="GK45" s="33"/>
      <c r="GL45" s="33"/>
      <c r="GM45" s="33"/>
      <c r="GN45" s="33"/>
      <c r="GO45" s="33"/>
      <c r="GP45" s="33"/>
      <c r="GQ45" s="33"/>
      <c r="GR45" s="33"/>
      <c r="GS45" s="33"/>
      <c r="GT45" s="33"/>
      <c r="GU45" s="33"/>
      <c r="GV45" s="33"/>
      <c r="GW45" s="33"/>
      <c r="GX45" s="33"/>
      <c r="GY45" s="33"/>
      <c r="GZ45" s="33"/>
      <c r="HA45" s="33"/>
      <c r="HB45" s="33"/>
      <c r="HC45" s="33"/>
      <c r="HD45" s="33"/>
      <c r="HE45" s="33"/>
      <c r="HF45" s="33"/>
      <c r="HG45" s="33"/>
      <c r="HH45" s="33"/>
      <c r="HI45" s="33"/>
      <c r="HJ45" s="33"/>
      <c r="HK45" s="33"/>
      <c r="HL45" s="33"/>
      <c r="HM45" s="33"/>
      <c r="HN45" s="33"/>
      <c r="HO45" s="33"/>
      <c r="HP45" s="33"/>
      <c r="HQ45" s="33"/>
      <c r="HR45" s="33"/>
      <c r="HS45" s="33"/>
      <c r="HT45" s="33"/>
      <c r="HU45" s="33"/>
      <c r="HV45" s="33"/>
      <c r="HW45" s="33"/>
      <c r="HX45" s="33"/>
      <c r="HY45" s="33"/>
      <c r="HZ45" s="33"/>
      <c r="IA45" s="33"/>
      <c r="IB45" s="33"/>
      <c r="IC45" s="33"/>
      <c r="ID45" s="33"/>
      <c r="IE45" s="33"/>
      <c r="IF45" s="33"/>
      <c r="IG45" s="33"/>
      <c r="IH45" s="33"/>
      <c r="II45" s="33"/>
      <c r="IJ45" s="33"/>
      <c r="IK45" s="33"/>
      <c r="IL45" s="33"/>
      <c r="IM45" s="33"/>
      <c r="IN45" s="33"/>
      <c r="IO45" s="33"/>
      <c r="IP45" s="33"/>
      <c r="IQ45" s="33"/>
      <c r="IR45" s="33"/>
      <c r="IS45" s="33"/>
      <c r="IT45" s="33"/>
      <c r="IU45" s="33"/>
      <c r="IV45" s="33"/>
      <c r="IW45" s="33"/>
      <c r="IX45" s="33"/>
      <c r="IY45" s="33"/>
      <c r="IZ45" s="33"/>
      <c r="JA45" s="33"/>
      <c r="JB45" s="33"/>
      <c r="JC45" s="33"/>
      <c r="JD45" s="33"/>
      <c r="JE45" s="33"/>
      <c r="JF45" s="33"/>
      <c r="JG45" s="33"/>
      <c r="JH45" s="33"/>
      <c r="JI45" s="33"/>
      <c r="JJ45" s="33"/>
      <c r="JK45" s="33"/>
      <c r="JL45" s="33"/>
      <c r="JM45" s="33"/>
      <c r="JN45" s="33"/>
      <c r="JO45" s="33"/>
      <c r="JP45" s="33"/>
      <c r="JQ45" s="33"/>
      <c r="JR45" s="33"/>
      <c r="JS45" s="33"/>
      <c r="JT45" s="33"/>
      <c r="JU45" s="33"/>
      <c r="JV45" s="33"/>
      <c r="JW45" s="33"/>
      <c r="JX45" s="33"/>
      <c r="JY45" s="33"/>
      <c r="JZ45" s="33"/>
      <c r="KA45" s="33"/>
      <c r="KB45" s="33"/>
      <c r="KC45" s="33"/>
      <c r="KD45" s="33"/>
      <c r="KE45" s="33"/>
      <c r="KF45" s="33"/>
      <c r="KG45" s="33"/>
      <c r="KH45" s="33"/>
      <c r="KI45" s="33"/>
      <c r="KJ45" s="33"/>
      <c r="KK45" s="33"/>
      <c r="KL45" s="33"/>
      <c r="KM45" s="33"/>
      <c r="KN45" s="33"/>
      <c r="KO45" s="33"/>
      <c r="KP45" s="33"/>
      <c r="KQ45" s="33"/>
      <c r="KR45" s="33"/>
      <c r="KS45" s="33"/>
      <c r="KT45" s="33"/>
      <c r="KU45" s="33"/>
      <c r="KV45" s="33"/>
      <c r="KW45" s="33"/>
      <c r="KX45" s="33"/>
      <c r="KY45" s="33"/>
      <c r="KZ45" s="33"/>
      <c r="LA45" s="33"/>
      <c r="LB45" s="33"/>
      <c r="LC45" s="33"/>
      <c r="LD45" s="33"/>
      <c r="LE45" s="33"/>
      <c r="LF45" s="33"/>
      <c r="LG45" s="33"/>
      <c r="LH45" s="33"/>
      <c r="LI45" s="33"/>
      <c r="LJ45" s="33"/>
      <c r="LK45" s="33"/>
    </row>
    <row r="46" spans="1:323" ht="30" customHeight="1" x14ac:dyDescent="0.3">
      <c r="G46" s="6"/>
    </row>
    <row r="47" spans="1:323" ht="30" customHeight="1" x14ac:dyDescent="0.3">
      <c r="C47" s="11"/>
      <c r="F47" s="47"/>
    </row>
    <row r="48" spans="1:323" ht="30" customHeight="1" x14ac:dyDescent="0.3">
      <c r="C48" s="12"/>
    </row>
  </sheetData>
  <mergeCells count="48">
    <mergeCell ref="LE4:LK4"/>
    <mergeCell ref="JV4:KB4"/>
    <mergeCell ref="KC4:KI4"/>
    <mergeCell ref="KJ4:KP4"/>
    <mergeCell ref="KQ4:KW4"/>
    <mergeCell ref="KX4:LD4"/>
    <mergeCell ref="IM4:IS4"/>
    <mergeCell ref="IT4:IZ4"/>
    <mergeCell ref="JA4:JG4"/>
    <mergeCell ref="JH4:JN4"/>
    <mergeCell ref="JO4:JU4"/>
    <mergeCell ref="HD4:HJ4"/>
    <mergeCell ref="HK4:HQ4"/>
    <mergeCell ref="HR4:HX4"/>
    <mergeCell ref="HY4:IE4"/>
    <mergeCell ref="IF4:IL4"/>
    <mergeCell ref="FU4:GA4"/>
    <mergeCell ref="GB4:GH4"/>
    <mergeCell ref="GI4:GO4"/>
    <mergeCell ref="GP4:GV4"/>
    <mergeCell ref="GW4:HC4"/>
    <mergeCell ref="EL4:ER4"/>
    <mergeCell ref="ES4:EY4"/>
    <mergeCell ref="EZ4:FF4"/>
    <mergeCell ref="FG4:FM4"/>
    <mergeCell ref="FN4:FT4"/>
    <mergeCell ref="W4:AC4"/>
    <mergeCell ref="DJ4:DP4"/>
    <mergeCell ref="DQ4:DW4"/>
    <mergeCell ref="DX4:ED4"/>
    <mergeCell ref="EE4:EK4"/>
    <mergeCell ref="C3:D3"/>
    <mergeCell ref="E3:F3"/>
    <mergeCell ref="C4:D4"/>
    <mergeCell ref="I4:O4"/>
    <mergeCell ref="P4:V4"/>
    <mergeCell ref="DC4:DI4"/>
    <mergeCell ref="AD4:AJ4"/>
    <mergeCell ref="AK4:AQ4"/>
    <mergeCell ref="AR4:AX4"/>
    <mergeCell ref="AY4:BE4"/>
    <mergeCell ref="BF4:BL4"/>
    <mergeCell ref="BM4:BS4"/>
    <mergeCell ref="BT4:BZ4"/>
    <mergeCell ref="CA4:CG4"/>
    <mergeCell ref="CH4:CN4"/>
    <mergeCell ref="CO4:CU4"/>
    <mergeCell ref="CV4:DB4"/>
  </mergeCells>
  <conditionalFormatting sqref="D7:D45">
    <cfRule type="dataBar" priority="118">
      <dataBar>
        <cfvo type="num" val="0"/>
        <cfvo type="num" val="1"/>
        <color theme="0" tint="-0.249977111117893"/>
      </dataBar>
      <extLst>
        <ext xmlns:x14="http://schemas.microsoft.com/office/spreadsheetml/2009/9/main" uri="{B025F937-C7B1-47D3-B67F-A62EFF666E3E}">
          <x14:id>{BCA40292-AC98-4AA0-92D8-82024BA1FB43}</x14:id>
        </ext>
      </extLst>
    </cfRule>
  </conditionalFormatting>
  <conditionalFormatting sqref="I5:LJ45">
    <cfRule type="expression" dxfId="5" priority="99">
      <formula>AND(TODAY()&gt;=I$5,TODAY()&lt;J$5)</formula>
    </cfRule>
  </conditionalFormatting>
  <conditionalFormatting sqref="I7:LJ45">
    <cfRule type="expression" dxfId="4" priority="97">
      <formula>AND(Início_da_tarefa&lt;=I$5,ROUNDDOWN((Término_da_tarefa-Início_da_tarefa+1)*Progresso_da_tarefa,0)+Início_da_tarefa-1&gt;=I$5)</formula>
    </cfRule>
    <cfRule type="expression" dxfId="3" priority="98" stopIfTrue="1">
      <formula>AND(Término_da_tarefa&gt;=I$5,Início_da_tarefa&lt;J$5)</formula>
    </cfRule>
  </conditionalFormatting>
  <conditionalFormatting sqref="LK5:LK45">
    <cfRule type="expression" dxfId="2" priority="120">
      <formula>AND(TODAY()&gt;=LK$5,TODAY()&lt;#REF!)</formula>
    </cfRule>
  </conditionalFormatting>
  <conditionalFormatting sqref="LK7:LK45">
    <cfRule type="expression" dxfId="1" priority="123">
      <formula>AND(Início_da_tarefa&lt;=LK$5,ROUNDDOWN((Término_da_tarefa-Início_da_tarefa+1)*Progresso_da_tarefa,0)+Início_da_tarefa-1&gt;=LK$5)</formula>
    </cfRule>
    <cfRule type="expression" dxfId="0" priority="124" stopIfTrue="1">
      <formula>AND(Término_da_tarefa&gt;=LK$5,Início_da_tarefa&lt;#REF!)</formula>
    </cfRule>
  </conditionalFormatting>
  <dataValidations count="1">
    <dataValidation type="whole" operator="greaterThanOrEqual" allowBlank="1" showInputMessage="1" promptTitle="Semana de exibição" prompt="Alterar esse número rola a exibição do Gráfico de Gantt." sqref="E4" xr:uid="{D403076A-9066-44E3-885B-AF15BFBB79DF}">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CA40292-AC98-4AA0-92D8-82024BA1FB43}">
            <x14:dataBar minLength="0" maxLength="100" gradient="0">
              <x14:cfvo type="num">
                <xm:f>0</xm:f>
              </x14:cfvo>
              <x14:cfvo type="num">
                <xm:f>1</xm:f>
              </x14:cfvo>
              <x14:negativeFillColor rgb="FFFF0000"/>
              <x14:axisColor rgb="FF000000"/>
            </x14:dataBar>
          </x14:cfRule>
          <xm:sqref>D7:D45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www.w3.org/2000/xmlns/"/>
    <ds:schemaRef ds:uri="http://schemas.microsoft.com/sharepoint/v3"/>
    <ds:schemaRef ds:uri="http://www.w3.org/2001/XMLSchema-instance"/>
    <ds:schemaRef ds:uri="71af3243-3dd4-4a8d-8c0d-dd76da1f02a5"/>
    <ds:schemaRef ds:uri="http://schemas.microsoft.com/office/infopath/2007/PartnerControls"/>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71af3243-3dd4-4a8d-8c0d-dd76da1f02a5"/>
    <ds:schemaRef ds:uri="16c05727-aa75-4e4a-9b5f-8a80a1165891"/>
    <ds:schemaRef ds:uri="230e9df3-be65-4c73-a93b-d1236ebd677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3</vt:i4>
      </vt:variant>
      <vt:variant>
        <vt:lpstr>Intervalos Nomeados</vt:lpstr>
      </vt:variant>
      <vt:variant>
        <vt:i4>12</vt:i4>
      </vt:variant>
    </vt:vector>
  </HeadingPairs>
  <TitlesOfParts>
    <vt:vector size="15" baseType="lpstr">
      <vt:lpstr>CronogramaDeProjeto</vt:lpstr>
      <vt:lpstr>Sobre</vt:lpstr>
      <vt:lpstr>CronogramaDeProjeto (2)</vt:lpstr>
      <vt:lpstr>CronogramaDeProjeto!Início_da_tarefa</vt:lpstr>
      <vt:lpstr>'CronogramaDeProjeto (2)'!Início_da_tarefa</vt:lpstr>
      <vt:lpstr>'CronogramaDeProjeto (2)'!Início_do_projeto</vt:lpstr>
      <vt:lpstr>Início_do_projeto</vt:lpstr>
      <vt:lpstr>CronogramaDeProjeto!Progresso_da_tarefa</vt:lpstr>
      <vt:lpstr>'CronogramaDeProjeto (2)'!Progresso_da_tarefa</vt:lpstr>
      <vt:lpstr>'CronogramaDeProjeto (2)'!Semana_de_exibição</vt:lpstr>
      <vt:lpstr>Semana_de_exibição</vt:lpstr>
      <vt:lpstr>CronogramaDeProjeto!Término_da_tarefa</vt:lpstr>
      <vt:lpstr>'CronogramaDeProjeto (2)'!Término_da_tarefa</vt:lpstr>
      <vt:lpstr>CronogramaDeProjeto!Titulos_de_impressao</vt:lpstr>
      <vt:lpstr>'CronogramaDeProjeto (2)'!Titulos_de_impressao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2026-03-03T20:52:52Z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