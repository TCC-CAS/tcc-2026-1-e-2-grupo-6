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592" documentId="8_{135725BA-FB57-4A0F-A1B0-98B331877DA6}" xr6:coauthVersionLast="47" xr6:coauthVersionMax="47" xr10:uidLastSave="{84605806-9BAB-4CFC-B2E4-C8B12603FE0D}"/>
  <bookViews>
    <workbookView xWindow="-120" yWindow="-120" windowWidth="29040" windowHeight="15720" xr2:uid="{00000000-000D-0000-FFFF-FFFF00000000}"/>
  </bookViews>
  <sheets>
    <sheet name="CronogramaDeProjeto" sheetId="11" r:id="rId1"/>
    <sheet name="Sobre" sheetId="12" r:id="rId2"/>
  </sheets>
  <definedNames>
    <definedName name="_xlnm._FilterDatabase" localSheetId="0" hidden="1">CronogramaDeProjeto!$B$40:$B$43</definedName>
    <definedName name="Hoje" localSheetId="0">TODAY()</definedName>
    <definedName name="Início_da_tarefa" localSheetId="0">CronogramaDeProjeto!$E1</definedName>
    <definedName name="Início_do_projeto">CronogramaDeProjeto!$E$1</definedName>
    <definedName name="Progresso_da_tarefa" localSheetId="0">CronogramaDeProjeto!$D1</definedName>
    <definedName name="Semana_de_exibição">CronogramaDeProjeto!$E$2</definedName>
    <definedName name="Término_da_tarefa" localSheetId="0">CronogramaDeProjeto!$F1</definedName>
    <definedName name="_xlnm.Print_Titles" localSheetId="0">CronogramaDeProjeto!$2:$4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11" l="1"/>
  <c r="E7" i="11"/>
  <c r="E6" i="11"/>
  <c r="H46" i="11"/>
  <c r="H45" i="11"/>
  <c r="H30" i="11"/>
  <c r="H5" i="11"/>
  <c r="I3" i="11" l="1"/>
  <c r="I2" i="11" l="1"/>
  <c r="I4" i="11"/>
  <c r="J3" i="11"/>
  <c r="K3" i="11" l="1"/>
  <c r="J4" i="11"/>
  <c r="K4" i="11" l="1"/>
  <c r="L3" i="11"/>
  <c r="H31" i="11"/>
  <c r="M3" i="11" l="1"/>
  <c r="L4" i="11"/>
  <c r="M4" i="11" l="1"/>
  <c r="N3" i="11"/>
  <c r="O3" i="11" l="1"/>
  <c r="N4" i="11"/>
  <c r="O4" i="11" l="1"/>
  <c r="P3" i="11"/>
  <c r="P4" i="11" l="1"/>
  <c r="P2" i="11"/>
  <c r="Q3" i="11"/>
  <c r="Q4" i="11" l="1"/>
  <c r="R3" i="11"/>
  <c r="R4" i="11" l="1"/>
  <c r="S3" i="11"/>
  <c r="T3" i="11" l="1"/>
  <c r="S4" i="11"/>
  <c r="U3" i="11" l="1"/>
  <c r="T4" i="11"/>
  <c r="U4" i="11" l="1"/>
  <c r="V3" i="11"/>
  <c r="W3" i="11" l="1"/>
  <c r="V4" i="11"/>
  <c r="X3" i="11" l="1"/>
  <c r="W2" i="11"/>
  <c r="W4" i="11"/>
  <c r="X4" i="11" l="1"/>
  <c r="Y3" i="11"/>
  <c r="Y4" i="11" l="1"/>
  <c r="Z3" i="11"/>
  <c r="AA3" i="11" l="1"/>
  <c r="Z4" i="11"/>
  <c r="AB3" i="11" l="1"/>
  <c r="AA4" i="11"/>
  <c r="AC3" i="11" l="1"/>
  <c r="AB4" i="11"/>
  <c r="AC4" i="11" l="1"/>
  <c r="AD3" i="11"/>
  <c r="AE3" i="11" l="1"/>
  <c r="AD4" i="11"/>
  <c r="AD2" i="11"/>
  <c r="AF3" i="11" l="1"/>
  <c r="AE4" i="11"/>
  <c r="AF4" i="11" l="1"/>
  <c r="AG3" i="11"/>
  <c r="AG4" i="11" l="1"/>
  <c r="AH3" i="11"/>
  <c r="AI3" i="11" l="1"/>
  <c r="AH4" i="11"/>
  <c r="AJ3" i="11" l="1"/>
  <c r="AI4" i="11"/>
  <c r="AJ4" i="11" l="1"/>
  <c r="AK3" i="11"/>
  <c r="AK4" i="11" l="1"/>
  <c r="AL3" i="11"/>
  <c r="AK2" i="11"/>
  <c r="AM3" i="11" l="1"/>
  <c r="AL4" i="11"/>
  <c r="AM4" i="11" l="1"/>
  <c r="AN3" i="11"/>
  <c r="AO3" i="11" l="1"/>
  <c r="AN4" i="11"/>
  <c r="AP3" i="11" l="1"/>
  <c r="AO4" i="11"/>
  <c r="AQ3" i="11" l="1"/>
  <c r="AP4" i="11"/>
  <c r="AR3" i="11" l="1"/>
  <c r="AQ4" i="11"/>
  <c r="AR2" i="11" l="1"/>
  <c r="AS3" i="11"/>
  <c r="AR4" i="11"/>
  <c r="AT3" i="11" l="1"/>
  <c r="AS4" i="11"/>
  <c r="AU3" i="11" l="1"/>
  <c r="AT4" i="11"/>
  <c r="AV3" i="11" l="1"/>
  <c r="AU4" i="11"/>
  <c r="AV4" i="11" l="1"/>
  <c r="AW3" i="11"/>
  <c r="AX3" i="11" l="1"/>
  <c r="AW4" i="11"/>
  <c r="AY3" i="11" l="1"/>
  <c r="AX4" i="11"/>
  <c r="AY4" i="11" l="1"/>
  <c r="AY2" i="11"/>
  <c r="AZ3" i="11"/>
  <c r="AZ4" i="11" l="1"/>
  <c r="BA3" i="11"/>
  <c r="BA4" i="11" l="1"/>
  <c r="BB3" i="11"/>
  <c r="BB4" i="11" l="1"/>
  <c r="BC3" i="11"/>
  <c r="BD3" i="11" l="1"/>
  <c r="BC4" i="11"/>
  <c r="BD4" i="11" l="1"/>
  <c r="BE3" i="11"/>
  <c r="BE4" i="11" l="1"/>
  <c r="BF3" i="11"/>
  <c r="BF4" i="11" l="1"/>
  <c r="BG3" i="11"/>
  <c r="BF2" i="11"/>
  <c r="BG4" i="11" l="1"/>
  <c r="BH3" i="11"/>
  <c r="BH4" i="11" l="1"/>
  <c r="BI3" i="11"/>
  <c r="BI4" i="11" l="1"/>
  <c r="BJ3" i="11"/>
  <c r="BJ4" i="11" l="1"/>
  <c r="BK3" i="11"/>
  <c r="BL3" i="11" l="1"/>
  <c r="BK4" i="11"/>
  <c r="BL4" i="11" l="1"/>
  <c r="BM3" i="11"/>
  <c r="BN3" i="11" l="1"/>
  <c r="BM2" i="11"/>
  <c r="BM4" i="11"/>
  <c r="BO3" i="11" l="1"/>
  <c r="BN4" i="11"/>
  <c r="BP3" i="11" l="1"/>
  <c r="BO4" i="11"/>
  <c r="BP4" i="11" l="1"/>
  <c r="BQ3" i="11"/>
  <c r="BQ4" i="11" l="1"/>
  <c r="BR3" i="11"/>
  <c r="BS3" i="11" l="1"/>
  <c r="BR4" i="11"/>
  <c r="BS4" i="11" l="1"/>
  <c r="BT3" i="11"/>
  <c r="BT4" i="11" l="1"/>
  <c r="BT2" i="11"/>
  <c r="BU3" i="11"/>
  <c r="BV3" i="11" l="1"/>
  <c r="BU4" i="11"/>
  <c r="BV4" i="11" l="1"/>
  <c r="BW3" i="11"/>
  <c r="BX3" i="11" l="1"/>
  <c r="BW4" i="11"/>
  <c r="BY3" i="11" l="1"/>
  <c r="BX4" i="11"/>
  <c r="BY4" i="11" l="1"/>
  <c r="BZ3" i="11"/>
  <c r="BZ4" i="11" l="1"/>
  <c r="CA3" i="11"/>
  <c r="CB3" i="11" l="1"/>
  <c r="CA4" i="11"/>
  <c r="CA2" i="11"/>
  <c r="CB4" i="11" l="1"/>
  <c r="CC3" i="11"/>
  <c r="CD3" i="11" l="1"/>
  <c r="CC4" i="11"/>
  <c r="CE3" i="11" l="1"/>
  <c r="CD4" i="11"/>
  <c r="CF3" i="11" l="1"/>
  <c r="CE4" i="11"/>
  <c r="CF4" i="11" l="1"/>
  <c r="CG3" i="11"/>
  <c r="CG4" i="11" l="1"/>
  <c r="CH3" i="11"/>
  <c r="CI3" i="11" l="1"/>
  <c r="CH2" i="11"/>
  <c r="CH4" i="11"/>
  <c r="CJ3" i="11" l="1"/>
  <c r="CI4" i="11"/>
  <c r="CK3" i="11" l="1"/>
  <c r="CJ4" i="11"/>
  <c r="CL3" i="11" l="1"/>
  <c r="CK4" i="11"/>
  <c r="CM3" i="11" l="1"/>
  <c r="CL4" i="11"/>
  <c r="CM4" i="11" l="1"/>
  <c r="CN3" i="11"/>
  <c r="CN4" i="11" l="1"/>
  <c r="CO3" i="11"/>
  <c r="CO4" i="11" l="1"/>
  <c r="CO2" i="11"/>
  <c r="CP3" i="11"/>
  <c r="CQ3" i="11" l="1"/>
  <c r="CP4" i="11"/>
  <c r="CQ4" i="11" l="1"/>
  <c r="CR3" i="11"/>
  <c r="CS3" i="11" l="1"/>
  <c r="CR4" i="11"/>
  <c r="CT3" i="11" l="1"/>
  <c r="CS4" i="11"/>
  <c r="CT4" i="11" l="1"/>
  <c r="CU3" i="11"/>
  <c r="CU4" i="11" l="1"/>
  <c r="CV3" i="11"/>
  <c r="CW3" i="11" l="1"/>
  <c r="CV4" i="11"/>
  <c r="CV2" i="11"/>
  <c r="CX3" i="11" l="1"/>
  <c r="CW4" i="11"/>
  <c r="CY3" i="11" l="1"/>
  <c r="CX4" i="11"/>
  <c r="CZ3" i="11" l="1"/>
  <c r="CY4" i="11"/>
  <c r="DA3" i="11" l="1"/>
  <c r="CZ4" i="11"/>
  <c r="DA4" i="11" l="1"/>
  <c r="DB3" i="11"/>
  <c r="DB4" i="11" l="1"/>
  <c r="DC3" i="11"/>
  <c r="DD3" i="11" l="1"/>
  <c r="DC4" i="11"/>
  <c r="DC2" i="11"/>
  <c r="DE3" i="11" l="1"/>
  <c r="DD4" i="11"/>
  <c r="DF3" i="11" l="1"/>
  <c r="DE4" i="11"/>
  <c r="DG3" i="11" l="1"/>
  <c r="DF4" i="11"/>
  <c r="DH3" i="11" l="1"/>
  <c r="DG4" i="11"/>
  <c r="DH4" i="11" l="1"/>
  <c r="DI3" i="11"/>
  <c r="DI4" i="11" l="1"/>
  <c r="DJ3" i="11"/>
  <c r="DK3" i="11" l="1"/>
  <c r="DJ4" i="11"/>
  <c r="DJ2" i="11"/>
  <c r="DL3" i="11" l="1"/>
  <c r="DK4" i="11"/>
  <c r="DM3" i="11" l="1"/>
  <c r="DL4" i="11"/>
  <c r="DM4" i="11" l="1"/>
  <c r="DN3" i="11"/>
  <c r="DO3" i="11" l="1"/>
  <c r="DN4" i="11"/>
  <c r="DO4" i="11" l="1"/>
  <c r="DP3" i="11"/>
  <c r="DP4" i="11" l="1"/>
  <c r="DQ3" i="11"/>
  <c r="DQ2" i="11" l="1"/>
  <c r="DR3" i="11"/>
  <c r="DQ4" i="11"/>
  <c r="DS3" i="11" l="1"/>
  <c r="DR4" i="11"/>
  <c r="DS4" i="11" l="1"/>
  <c r="DT3" i="11"/>
  <c r="DT4" i="11" l="1"/>
  <c r="DU3" i="11"/>
  <c r="DU4" i="11" l="1"/>
  <c r="DV3" i="11"/>
  <c r="DW3" i="11" l="1"/>
  <c r="DV4" i="11"/>
  <c r="DW4" i="11" l="1"/>
  <c r="DX3" i="11"/>
  <c r="DY3" i="11" l="1"/>
  <c r="DX2" i="11"/>
  <c r="DX4" i="11"/>
  <c r="DY4" i="11" l="1"/>
  <c r="DZ3" i="11"/>
  <c r="DZ4" i="11" l="1"/>
  <c r="EA3" i="11"/>
  <c r="EA4" i="11" l="1"/>
  <c r="EB3" i="11"/>
  <c r="EC3" i="11" l="1"/>
  <c r="EB4" i="11"/>
  <c r="ED3" i="11" l="1"/>
  <c r="EC4" i="11"/>
  <c r="EE3" i="11" l="1"/>
  <c r="ED4" i="11"/>
  <c r="EF3" i="11" l="1"/>
  <c r="EE4" i="11"/>
  <c r="EE2" i="11"/>
  <c r="EF4" i="11" l="1"/>
  <c r="EG3" i="11"/>
  <c r="EG4" i="11" l="1"/>
  <c r="EH3" i="11"/>
  <c r="EH4" i="11" l="1"/>
  <c r="EI3" i="11"/>
  <c r="EI4" i="11" l="1"/>
  <c r="EJ3" i="11"/>
  <c r="EK3" i="11" l="1"/>
  <c r="EJ4" i="11"/>
  <c r="EK4" i="11" l="1"/>
  <c r="EL3" i="11"/>
  <c r="EL4" i="11" l="1"/>
  <c r="EL2" i="11"/>
  <c r="EM3" i="11"/>
  <c r="EM4" i="11" l="1"/>
  <c r="EN3" i="11"/>
  <c r="EO3" i="11" l="1"/>
  <c r="EN4" i="11"/>
  <c r="EP3" i="11" l="1"/>
  <c r="EO4" i="11"/>
  <c r="EQ3" i="11" l="1"/>
  <c r="EP4" i="11"/>
  <c r="EQ4" i="11" l="1"/>
  <c r="ER3" i="11"/>
  <c r="ES3" i="11" l="1"/>
  <c r="ER4" i="11"/>
  <c r="ET3" i="11" l="1"/>
  <c r="ES2" i="11"/>
  <c r="ES4" i="11"/>
  <c r="ET4" i="11" l="1"/>
  <c r="EU3" i="11"/>
  <c r="EU4" i="11" l="1"/>
  <c r="EV3" i="11"/>
  <c r="EV4" i="11" l="1"/>
  <c r="EW3" i="11"/>
  <c r="EX3" i="11" l="1"/>
  <c r="EW4" i="11"/>
  <c r="EX4" i="11" l="1"/>
  <c r="EY3" i="11"/>
  <c r="EY4" i="11" l="1"/>
  <c r="EZ3" i="11"/>
  <c r="FA3" i="11" l="1"/>
  <c r="EZ4" i="11"/>
  <c r="EZ2" i="11"/>
  <c r="FA4" i="11" l="1"/>
  <c r="FB3" i="11"/>
  <c r="FB4" i="11" l="1"/>
  <c r="FC3" i="11"/>
  <c r="FC4" i="11" l="1"/>
  <c r="FD3" i="11"/>
  <c r="FD4" i="11" l="1"/>
  <c r="FE3" i="11"/>
  <c r="FF3" i="11" l="1"/>
  <c r="FE4" i="11"/>
  <c r="FF4" i="11" l="1"/>
  <c r="FG3" i="11"/>
  <c r="FG2" i="11" l="1"/>
  <c r="FG4" i="11"/>
  <c r="FH3" i="11"/>
  <c r="FI3" i="11" l="1"/>
  <c r="FH4" i="11"/>
  <c r="FJ3" i="11" l="1"/>
  <c r="FI4" i="11"/>
  <c r="FJ4" i="11" l="1"/>
  <c r="FK3" i="11"/>
  <c r="FK4" i="11" l="1"/>
  <c r="FL3" i="11"/>
  <c r="FL4" i="11" l="1"/>
  <c r="FM3" i="11"/>
  <c r="FM4" i="11" l="1"/>
  <c r="FN3" i="11"/>
  <c r="FN4" i="11" l="1"/>
  <c r="FO3" i="11"/>
  <c r="FN2" i="11"/>
  <c r="FP3" i="11" l="1"/>
  <c r="FO4" i="11"/>
  <c r="FP4" i="11" l="1"/>
  <c r="FQ3" i="11"/>
  <c r="FQ4" i="11" l="1"/>
  <c r="FR3" i="11"/>
  <c r="FR4" i="11" l="1"/>
  <c r="FS3" i="11"/>
  <c r="FS4" i="11" l="1"/>
  <c r="FT3" i="11"/>
  <c r="FU3" i="11" l="1"/>
  <c r="FT4" i="11"/>
  <c r="FU2" i="11" l="1"/>
  <c r="FV3" i="11"/>
  <c r="FU4" i="11"/>
  <c r="FW3" i="11" l="1"/>
  <c r="FV4" i="11"/>
  <c r="FX3" i="11" l="1"/>
  <c r="FW4" i="11"/>
  <c r="FY3" i="11" l="1"/>
  <c r="FX4" i="11"/>
  <c r="FZ3" i="11" l="1"/>
  <c r="FY4" i="11"/>
  <c r="FZ4" i="11" l="1"/>
  <c r="GA3" i="11"/>
  <c r="GA4" i="11" l="1"/>
  <c r="GB3" i="11"/>
  <c r="GC3" i="11" l="1"/>
  <c r="GB2" i="11"/>
  <c r="GB4" i="11"/>
  <c r="GD3" i="11" l="1"/>
  <c r="GC4" i="11"/>
  <c r="GD4" i="11" l="1"/>
  <c r="GE3" i="11"/>
  <c r="GE4" i="11" l="1"/>
  <c r="GF3" i="11"/>
  <c r="GG3" i="11" l="1"/>
  <c r="GF4" i="11"/>
  <c r="GG4" i="11" l="1"/>
  <c r="GH3" i="11"/>
  <c r="GI3" i="11" l="1"/>
  <c r="GH4" i="11"/>
  <c r="GJ3" i="11" l="1"/>
  <c r="GI4" i="11"/>
  <c r="GI2" i="11"/>
  <c r="GK3" i="11" l="1"/>
  <c r="GJ4" i="11"/>
  <c r="GK4" i="11" l="1"/>
  <c r="GL3" i="11"/>
  <c r="GL4" i="11" l="1"/>
  <c r="GM3" i="11"/>
  <c r="GM4" i="11" l="1"/>
  <c r="GN3" i="11"/>
  <c r="GO3" i="11" l="1"/>
  <c r="GN4" i="11"/>
  <c r="GO4" i="11" l="1"/>
  <c r="GP3" i="11"/>
  <c r="GQ3" i="11" l="1"/>
  <c r="GP2" i="11"/>
  <c r="GP4" i="11"/>
  <c r="GR3" i="11" l="1"/>
  <c r="GQ4" i="11"/>
  <c r="GS3" i="11" l="1"/>
  <c r="GR4" i="11"/>
  <c r="GT3" i="11" l="1"/>
  <c r="GS4" i="11"/>
  <c r="GU3" i="11" l="1"/>
  <c r="GT4" i="11"/>
  <c r="GU4" i="11" l="1"/>
  <c r="GV3" i="11"/>
  <c r="GW3" i="11" l="1"/>
  <c r="GV4" i="11"/>
  <c r="GX3" i="11" l="1"/>
  <c r="GW4" i="11"/>
  <c r="GW2" i="11"/>
  <c r="GY3" i="11" l="1"/>
  <c r="GX4" i="11"/>
  <c r="GY4" i="11" l="1"/>
  <c r="GZ3" i="11"/>
  <c r="HA3" i="11" l="1"/>
  <c r="GZ4" i="11"/>
  <c r="HB3" i="11" l="1"/>
  <c r="HA4" i="11"/>
  <c r="HB4" i="11" l="1"/>
  <c r="HC3" i="11"/>
  <c r="HC4" i="11" l="1"/>
  <c r="HD3" i="11"/>
  <c r="HD4" i="11" l="1"/>
  <c r="HE3" i="11"/>
  <c r="HD2" i="11"/>
  <c r="HE4" i="11" l="1"/>
  <c r="HF3" i="11"/>
  <c r="HF4" i="11" l="1"/>
  <c r="HG3" i="11"/>
  <c r="HH3" i="11" l="1"/>
  <c r="HG4" i="11"/>
  <c r="HI3" i="11" l="1"/>
  <c r="HH4" i="11"/>
  <c r="HJ3" i="11" l="1"/>
  <c r="HI4" i="11"/>
  <c r="HK3" i="11" l="1"/>
  <c r="HJ4" i="11"/>
  <c r="HK2" i="11" l="1"/>
  <c r="HK4" i="11"/>
  <c r="HL3" i="11"/>
  <c r="HL4" i="11" l="1"/>
  <c r="HM3" i="11"/>
  <c r="HM4" i="11" l="1"/>
  <c r="HN3" i="11"/>
  <c r="HN4" i="11" l="1"/>
  <c r="HO3" i="11"/>
  <c r="HP3" i="11" l="1"/>
  <c r="HO4" i="11"/>
  <c r="HQ3" i="11" l="1"/>
  <c r="HP4" i="11"/>
  <c r="HQ4" i="11" l="1"/>
  <c r="HR3" i="11"/>
  <c r="HS3" i="11" l="1"/>
  <c r="HR2" i="11"/>
  <c r="HR4" i="11"/>
  <c r="HT3" i="11" l="1"/>
  <c r="HS4" i="11"/>
  <c r="HT4" i="11" l="1"/>
  <c r="HU3" i="11"/>
  <c r="HV3" i="11" l="1"/>
  <c r="HU4" i="11"/>
  <c r="HW3" i="11" l="1"/>
  <c r="HV4" i="11"/>
  <c r="HW4" i="11" l="1"/>
  <c r="HX3" i="11"/>
  <c r="HX4" i="11" l="1"/>
  <c r="HY3" i="11"/>
  <c r="HY2" i="11" l="1"/>
  <c r="HY4" i="11"/>
  <c r="HZ3" i="11"/>
  <c r="IA3" i="11" l="1"/>
  <c r="HZ4" i="11"/>
  <c r="IB3" i="11" l="1"/>
  <c r="IA4" i="11"/>
  <c r="IC3" i="11" l="1"/>
  <c r="IB4" i="11"/>
  <c r="ID3" i="11" l="1"/>
  <c r="IC4" i="11"/>
  <c r="IE3" i="11" l="1"/>
  <c r="ID4" i="11"/>
  <c r="IE4" i="11" l="1"/>
  <c r="IF3" i="11"/>
  <c r="IF4" i="11" l="1"/>
  <c r="IF2" i="11"/>
  <c r="IG3" i="11"/>
  <c r="IH3" i="11" l="1"/>
  <c r="IG4" i="11"/>
  <c r="II3" i="11" l="1"/>
  <c r="IH4" i="11"/>
  <c r="IJ3" i="11" l="1"/>
  <c r="II4" i="11"/>
  <c r="IJ4" i="11" l="1"/>
  <c r="IK3" i="11"/>
  <c r="IL3" i="11" l="1"/>
  <c r="IK4" i="11"/>
  <c r="IM3" i="11" l="1"/>
  <c r="IL4" i="11"/>
  <c r="IN3" i="11" l="1"/>
  <c r="IM4" i="11"/>
  <c r="IM2" i="11"/>
  <c r="IO3" i="11" l="1"/>
  <c r="IN4" i="11"/>
  <c r="IP3" i="11" l="1"/>
  <c r="IO4" i="11"/>
  <c r="IQ3" i="11" l="1"/>
  <c r="IP4" i="11"/>
  <c r="IQ4" i="11" l="1"/>
  <c r="IR3" i="11"/>
  <c r="IR4" i="11" l="1"/>
  <c r="IS3" i="11"/>
  <c r="IS4" i="11" l="1"/>
  <c r="IT3" i="11"/>
  <c r="IT2" i="11" l="1"/>
  <c r="IT4" i="11"/>
  <c r="IU3" i="11"/>
  <c r="IV3" i="11" l="1"/>
  <c r="IU4" i="11"/>
  <c r="IW3" i="11" l="1"/>
  <c r="IV4" i="11"/>
  <c r="IW4" i="11" l="1"/>
  <c r="IX3" i="11"/>
  <c r="IX4" i="11" l="1"/>
  <c r="IY3" i="11"/>
  <c r="IY4" i="11" l="1"/>
  <c r="IZ3" i="11"/>
  <c r="JA3" i="11" l="1"/>
  <c r="IZ4" i="11"/>
  <c r="JA2" i="11" l="1"/>
  <c r="JB3" i="11"/>
  <c r="JA4" i="11"/>
  <c r="JB4" i="11" l="1"/>
  <c r="JC3" i="11"/>
  <c r="JC4" i="11" l="1"/>
  <c r="JD3" i="11"/>
  <c r="JE3" i="11" l="1"/>
  <c r="JD4" i="11"/>
  <c r="JF3" i="11" l="1"/>
  <c r="JE4" i="11"/>
  <c r="JF4" i="11" l="1"/>
  <c r="JG3" i="11"/>
  <c r="JG4" i="11" l="1"/>
  <c r="JH3" i="11"/>
  <c r="JH4" i="11" l="1"/>
  <c r="JI3" i="11"/>
  <c r="JH2" i="11"/>
  <c r="JI4" i="11" l="1"/>
  <c r="JJ3" i="11"/>
  <c r="JJ4" i="11" l="1"/>
  <c r="JK3" i="11"/>
  <c r="JL3" i="11" l="1"/>
  <c r="JK4" i="11"/>
  <c r="JM3" i="11" l="1"/>
  <c r="JL4" i="11"/>
  <c r="JN3" i="11" l="1"/>
  <c r="JM4" i="11"/>
  <c r="JO3" i="11" l="1"/>
  <c r="JN4" i="11"/>
  <c r="JP3" i="11" l="1"/>
  <c r="JO4" i="11"/>
  <c r="JO2" i="11"/>
  <c r="JP4" i="11" l="1"/>
  <c r="JQ3" i="11"/>
  <c r="JQ4" i="11" l="1"/>
  <c r="JR3" i="11"/>
  <c r="JR4" i="11" l="1"/>
  <c r="JS3" i="11"/>
  <c r="JT3" i="11" l="1"/>
  <c r="JS4" i="11"/>
  <c r="JU3" i="11" l="1"/>
  <c r="JU4" i="11" s="1"/>
  <c r="JT4" i="11"/>
</calcChain>
</file>

<file path=xl/sharedStrings.xml><?xml version="1.0" encoding="utf-8"?>
<sst xmlns="http://schemas.openxmlformats.org/spreadsheetml/2006/main" count="110" uniqueCount="76">
  <si>
    <t>Insira o nome do Líder do projeto na célula B3. Insira a data de Início do projeto na célula E3. Início do projeto: o rótulo está na célula C3.</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</si>
  <si>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</si>
  <si>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</si>
  <si>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</si>
  <si>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</si>
  <si>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</si>
  <si>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Esta é uma linha vazia</t>
  </si>
  <si>
    <t>Esta linha marca o final do Cronograma do projeto. NÃO insira nada nessa linha. 
Insira novas linhas ACIMA desta linha para continuar a construção do cronograma de projeto.</t>
  </si>
  <si>
    <t>TAREFA</t>
  </si>
  <si>
    <t>Insira novas linhas ACIMA desta</t>
  </si>
  <si>
    <t>Início do projeto:</t>
  </si>
  <si>
    <t>Semana de exibição:</t>
  </si>
  <si>
    <t>ATRIBUÍDO
PARA</t>
  </si>
  <si>
    <t>PROGRESSO</t>
  </si>
  <si>
    <t>INÍCIO</t>
  </si>
  <si>
    <t>TÉRMINO</t>
  </si>
  <si>
    <t>DIAS</t>
  </si>
  <si>
    <t>GRÁFICO DE GANTT SIMPLES por Vertex42.com</t>
  </si>
  <si>
    <t>https://www.vertex42.com/ExcelTemplates/simple-gantt-chart.html</t>
  </si>
  <si>
    <t>Sobre este modelo</t>
  </si>
  <si>
    <t>Este modelo proporciona uma maneira simples de criar um gráfico de Gantt para ajudar a visualizar e controlar seu projeto. Basta inserir suas tarefas e as datas de início e término, as fórmulas não são necessárias. As barras no gráfico de Gantt representam a duração da tarefa e são exibidas usando a formatação condicional. Para adicionar novas tarefas, insira novas linhas.</t>
  </si>
  <si>
    <t>Guia para leitores de tela</t>
  </si>
  <si>
    <t>Há duas planilhas nesta pasta de trabalho. 
FolhaDePonto
Sobre
As instruções para cada planilha estão na coluna A, começando na célula A1 de cada planilha. Elas foram escritas com texto oculto. Cada etapa orienta você pelas informações nessa linha. Cada etapa subsequente continua na célula A2, A3 e assim por diante, caso isso não seja orientado explicitamente. Por exemplo, o texto da instrução pode mostrar "continua na célula A6" para a próxima etapa. 
Esse texto oculto não será impresso.
Para remover essas instruções da planilha, basta excluir a coluna A.</t>
  </si>
  <si>
    <t>Ajuda adicional</t>
  </si>
  <si>
    <t>Clique no link abaixo para acessar o site vertex42.com e saiba mais sobre como usar esse modelo, como calcular os dias normais e dias úteis, criar as dependências entre tarefas, alterar as cores das barras, adicionar uma barra de rolagem para facilitar a alteração da semana de exibição, ampliar o intervalo de data exibido no gráfico, etc.</t>
  </si>
  <si>
    <t>Como usar um gráfico de Gantt simples</t>
  </si>
  <si>
    <t>Mais modelos de gerenciamento de projetos</t>
  </si>
  <si>
    <t>Acesse Vertex42.com para baixar outros modelos de gerenciamento de projetos, incluindo os diferentes tipos de cronogramas de projetos, gráficos de Gantt, listas de tarefas, etc.</t>
  </si>
  <si>
    <t>Modelos de gerenciamento de projetos</t>
  </si>
  <si>
    <t>Sobre o Vertex42</t>
  </si>
  <si>
    <t>O Vertex42.com oferece mais de 300 modelos profissionais de planilha para uso corporativo, doméstico e educacional, a maioria deles com download gratuito. O conjunto de modelos inclui vários calendários, planejadores e agendas, bem como planilhas de finanças pessoais para orçamento, redução de débito e amortização de empréstimo.</t>
  </si>
  <si>
    <t>As empresas encontrarão faturas, folhas de ponto, controladores de estoque, demonstrativos financeiros e modelos de planejamento de projetos. Professores e alunos encontrarão recursos como cronogramas de aula, planilhas de notas e planilhas de participação. Organize sua vida familiar com planejadores de refeições, listas de verificação e registros de exercícios. Cada modelo é completamente pesquisado, refinado e aprimorado ao longo do tempo com o feedback de milhares de usuários.</t>
  </si>
  <si>
    <t>Emily Oliveira</t>
  </si>
  <si>
    <t>Matheus Rodrigues</t>
  </si>
  <si>
    <t>Felipe Macena</t>
  </si>
  <si>
    <t>TCC 1</t>
  </si>
  <si>
    <t>A todos do grupo</t>
  </si>
  <si>
    <t>Levantamento bibliográfico</t>
  </si>
  <si>
    <t>TCC 2</t>
  </si>
  <si>
    <t>Páginas Login e Cadastro usuário - Front-end</t>
  </si>
  <si>
    <t>Páginas Login e Cadastro Salão - Front-end</t>
  </si>
  <si>
    <t>Página Home - Front-end</t>
  </si>
  <si>
    <t>Página Agendamento - Front-end</t>
  </si>
  <si>
    <t>Página Exibir agendamentos clientes  - Front-end</t>
  </si>
  <si>
    <t>Página Exibir agendamentos salão  - Front-end</t>
  </si>
  <si>
    <t>Rota  Login e Cadastro usuário - Back-end</t>
  </si>
  <si>
    <t>Rotas Login e Cadastro Salão - Back-end</t>
  </si>
  <si>
    <t>Rota Home - Back-end</t>
  </si>
  <si>
    <t>Rota Agendamento - Back-end</t>
  </si>
  <si>
    <t>Rota Exibir agendamentos clientes  - Back-end</t>
  </si>
  <si>
    <t>Rota Exibir agendamentos salão  - Back-end</t>
  </si>
  <si>
    <t>Implementar banco de dados</t>
  </si>
  <si>
    <t>Testes ponta a ponta</t>
  </si>
  <si>
    <t>Redação da introdução</t>
  </si>
  <si>
    <t>Cronograma</t>
  </si>
  <si>
    <t>Orçamento do projeto</t>
  </si>
  <si>
    <t>Redação do referencial teórico</t>
  </si>
  <si>
    <t>Descrição da aplicação</t>
  </si>
  <si>
    <t>Levantamento de requisitos funcionais</t>
  </si>
  <si>
    <t>Levantamento de requisitos não funcionais</t>
  </si>
  <si>
    <t>Elaboração dos casos de uso</t>
  </si>
  <si>
    <t>Diagrama de casos de uso</t>
  </si>
  <si>
    <t>Diagrama de classes</t>
  </si>
  <si>
    <t>Regras de negócio</t>
  </si>
  <si>
    <t>Wireframe área do cliente</t>
  </si>
  <si>
    <t>Wireframe área do salão</t>
  </si>
  <si>
    <t>Modelagem do banco de dados (DER)</t>
  </si>
  <si>
    <t>Modelo físico</t>
  </si>
  <si>
    <t>Arquitetura da aplicação - Diagrama de Contexto</t>
  </si>
  <si>
    <t>Arquitetura da aplicação - Diagrama de Container</t>
  </si>
  <si>
    <t>Arquitetura da aplicação - Diagrama de Componentes</t>
  </si>
  <si>
    <t>Acessibilidade</t>
  </si>
  <si>
    <t>Resumo e Abstract</t>
  </si>
  <si>
    <t>Considerações finais</t>
  </si>
  <si>
    <t>Revisão geral do documento</t>
  </si>
  <si>
    <t>Arquivo de apresentação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</si>
</sst>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R$&quot;\ * #,##0_-;\-&quot;R$&quot;\ * #,##0_-;_-&quot;R$&quot;\ * &quot;-&quot;_-;_-@_-"/>
    <numFmt numFmtId="44" formatCode="_-&quot;R$&quot;\ * #,##0.00_-;\-&quot;R$&quot;\ * #,##0.00_-;_-&quot;R$&quot;\ * &quot;-&quot;??_-;_-@_-"/>
    <numFmt numFmtId="164" formatCode="_(* #,##0_);_(* \(#,##0\);_(* &quot;-&quot;_);_(@_)"/>
    <numFmt numFmtId="165" formatCode="d/m/yy;@"/>
    <numFmt numFmtId="166" formatCode="d\-mmm\-yyyy"/>
    <numFmt numFmtId="167" formatCode="d"/>
    <numFmt numFmtId="168" formatCode="ddd\,\ dd/mm/yyyy"/>
  </numFmts>
  <fonts count="34"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2" fillId="0" borderId="0" applyNumberFormat="0" applyFill="0" applyBorder="0" applyAlignment="0" applyProtection="0">
      <alignment vertical="top"/>
      <protection locked="0"/>
    </xf>
    <xf numFmtId="9" fontId="8" fillId="0" borderId="0" applyFont="0" applyFill="0" applyBorder="0" applyAlignment="0" applyProtection="0"/>
    <xf numFmtId="0" fontId="21" fillId="0" borderId="0"/>
    <xf numFmtId="9"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8" fontId="8" fillId="0" borderId="3">
      <alignment horizontal="center" vertical="center"/>
    </xf>
    <xf numFmtId="165"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2" fillId="0" borderId="0" applyNumberFormat="0" applyFill="0" applyBorder="0" applyAlignment="0" applyProtection="0"/>
    <xf numFmtId="164"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0" fontId="23" fillId="0" borderId="0" applyNumberFormat="0" applyFill="0" applyBorder="0" applyAlignment="0" applyProtection="0"/>
    <xf numFmtId="0" fontId="24" fillId="10" borderId="0" applyNumberFormat="0" applyBorder="0" applyAlignment="0" applyProtection="0"/>
    <xf numFmtId="0" fontId="25" fillId="11" borderId="0" applyNumberFormat="0" applyBorder="0" applyAlignment="0" applyProtection="0"/>
    <xf numFmtId="0" fontId="26" fillId="12" borderId="0" applyNumberFormat="0" applyBorder="0" applyAlignment="0" applyProtection="0"/>
    <xf numFmtId="0" fontId="27" fillId="13" borderId="11" applyNumberFormat="0" applyAlignment="0" applyProtection="0"/>
    <xf numFmtId="0" fontId="28" fillId="14" borderId="12" applyNumberFormat="0" applyAlignment="0" applyProtection="0"/>
    <xf numFmtId="0" fontId="29" fillId="14" borderId="11" applyNumberFormat="0" applyAlignment="0" applyProtection="0"/>
    <xf numFmtId="0" fontId="30" fillId="0" borderId="13" applyNumberFormat="0" applyFill="0" applyAlignment="0" applyProtection="0"/>
    <xf numFmtId="0" fontId="31" fillId="15" borderId="14" applyNumberFormat="0" applyAlignment="0" applyProtection="0"/>
    <xf numFmtId="0" fontId="32" fillId="0" borderId="0" applyNumberFormat="0" applyFill="0" applyBorder="0" applyAlignment="0" applyProtection="0"/>
    <xf numFmtId="0" fontId="8" fillId="16" borderId="15" applyNumberFormat="0" applyFont="0" applyAlignment="0" applyProtection="0"/>
    <xf numFmtId="0" fontId="33" fillId="0" borderId="0" applyNumberFormat="0" applyFill="0" applyBorder="0" applyAlignment="0" applyProtection="0"/>
    <xf numFmtId="0" fontId="5" fillId="0" borderId="16" applyNumberFormat="0" applyFill="0" applyAlignment="0" applyProtection="0"/>
    <xf numFmtId="0" fontId="21"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21"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21"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21"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21"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21"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cellStyleXfs>
  <cellXfs count="69">
    <xf numFmtId="0" fontId="0" fillId="0" borderId="0" xfId="0"/>
    <xf numFmtId="0" fontId="1" fillId="0" borderId="0" xfId="0" applyFont="1"/>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9" borderId="1" xfId="0" applyFont="1" applyFill="1" applyBorder="1" applyAlignment="1">
      <alignment horizontal="left" vertical="center" indent="1"/>
    </xf>
    <xf numFmtId="0" fontId="6" fillId="9" borderId="1" xfId="0" applyFont="1" applyFill="1" applyBorder="1" applyAlignment="1">
      <alignment horizontal="center" vertical="center" wrapText="1"/>
    </xf>
    <xf numFmtId="0" fontId="11" fillId="8" borderId="8" xfId="0" applyFont="1" applyFill="1" applyBorder="1" applyAlignment="1">
      <alignment horizontal="center" vertical="center" shrinkToFit="1"/>
    </xf>
    <xf numFmtId="9" fontId="4" fillId="0" borderId="2" xfId="2" applyFont="1" applyBorder="1" applyAlignment="1">
      <alignment horizontal="center" vertical="center"/>
    </xf>
    <xf numFmtId="0" fontId="4" fillId="0" borderId="2" xfId="0" applyFont="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3" borderId="2" xfId="2" applyFont="1" applyFill="1" applyBorder="1" applyAlignment="1">
      <alignment horizontal="center" vertical="center"/>
    </xf>
    <xf numFmtId="9" fontId="4" fillId="7" borderId="2" xfId="2" applyFont="1" applyFill="1" applyBorder="1" applyAlignment="1">
      <alignment horizontal="center" vertical="center"/>
    </xf>
    <xf numFmtId="9" fontId="4" fillId="4" borderId="2" xfId="2" applyFont="1" applyFill="1" applyBorder="1" applyAlignment="1">
      <alignment horizontal="center" vertical="center"/>
    </xf>
    <xf numFmtId="0" fontId="7" fillId="2" borderId="2" xfId="0" applyFont="1" applyFill="1" applyBorder="1" applyAlignment="1">
      <alignment horizontal="left" vertical="center" indent="1"/>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2" borderId="9" xfId="0" applyFill="1" applyBorder="1" applyAlignment="1">
      <alignment vertical="center"/>
    </xf>
    <xf numFmtId="0" fontId="1" fillId="0" borderId="0" xfId="0" applyFont="1" applyAlignment="1">
      <alignment vertical="top"/>
    </xf>
    <xf numFmtId="0" fontId="15" fillId="0" borderId="0" xfId="0" applyFont="1" applyAlignment="1">
      <alignment horizontal="left" vertical="center"/>
    </xf>
    <xf numFmtId="0" fontId="16" fillId="0" borderId="0" xfId="0" applyFont="1" applyAlignment="1">
      <alignment horizontal="left" vertical="center"/>
    </xf>
    <xf numFmtId="0" fontId="18" fillId="0" borderId="0" xfId="0" applyFont="1"/>
    <xf numFmtId="0" fontId="20" fillId="0" borderId="0" xfId="0" applyFont="1" applyAlignment="1">
      <alignment vertical="center"/>
    </xf>
    <xf numFmtId="0" fontId="19" fillId="0" borderId="0" xfId="0" applyFont="1" applyAlignment="1">
      <alignment horizontal="left" vertical="top" wrapText="1" indent="1"/>
    </xf>
    <xf numFmtId="0" fontId="1" fillId="0" borderId="0" xfId="0" applyFont="1" applyAlignment="1">
      <alignment horizontal="left" vertical="top"/>
    </xf>
    <xf numFmtId="0" fontId="17"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21" fillId="0" borderId="0" xfId="3"/>
    <xf numFmtId="0" fontId="21" fillId="0" borderId="0" xfId="3" applyAlignment="1">
      <alignment wrapText="1"/>
    </xf>
    <xf numFmtId="0" fontId="21" fillId="0" borderId="0" xfId="0" applyFont="1" applyAlignment="1">
      <alignment horizontal="center"/>
    </xf>
    <xf numFmtId="0" fontId="0" fillId="0" borderId="0" xfId="0" applyAlignment="1">
      <alignment wrapText="1"/>
    </xf>
    <xf numFmtId="0" fontId="9" fillId="0" borderId="0" xfId="7">
      <alignment vertical="top"/>
    </xf>
    <xf numFmtId="0" fontId="8" fillId="0" borderId="2" xfId="12">
      <alignment horizontal="left" vertical="center" indent="2"/>
    </xf>
    <xf numFmtId="0" fontId="0" fillId="0" borderId="10" xfId="0" applyBorder="1"/>
    <xf numFmtId="0" fontId="4" fillId="0" borderId="0" xfId="0" applyFont="1" applyAlignment="1">
      <alignment vertical="top"/>
    </xf>
    <xf numFmtId="165" fontId="0" fillId="6" borderId="2" xfId="0" applyNumberFormat="1" applyFill="1" applyBorder="1" applyAlignment="1">
      <alignment horizontal="center" vertical="center"/>
    </xf>
    <xf numFmtId="165" fontId="4" fillId="6" borderId="2" xfId="0" applyNumberFormat="1" applyFont="1" applyFill="1" applyBorder="1" applyAlignment="1">
      <alignment horizontal="center" vertical="center"/>
    </xf>
    <xf numFmtId="165" fontId="8" fillId="3" borderId="2" xfId="10" applyFill="1">
      <alignment horizontal="center" vertical="center"/>
    </xf>
    <xf numFmtId="165" fontId="0" fillId="7" borderId="2" xfId="0" applyNumberFormat="1" applyFill="1" applyBorder="1" applyAlignment="1">
      <alignment horizontal="center" vertical="center"/>
    </xf>
    <xf numFmtId="165" fontId="4" fillId="7" borderId="2" xfId="0" applyNumberFormat="1" applyFont="1" applyFill="1" applyBorder="1" applyAlignment="1">
      <alignment horizontal="center" vertical="center"/>
    </xf>
    <xf numFmtId="165" fontId="8" fillId="4" borderId="2" xfId="10" applyFill="1">
      <alignment horizontal="center" vertical="center"/>
    </xf>
    <xf numFmtId="165" fontId="8" fillId="0" borderId="2" xfId="10">
      <alignment horizontal="center" vertical="center"/>
    </xf>
    <xf numFmtId="165" fontId="3" fillId="2" borderId="2" xfId="0" applyNumberFormat="1" applyFont="1" applyFill="1" applyBorder="1" applyAlignment="1">
      <alignment horizontal="left" vertical="center"/>
    </xf>
    <xf numFmtId="165" fontId="4" fillId="2" borderId="2" xfId="0" applyNumberFormat="1" applyFont="1" applyFill="1" applyBorder="1" applyAlignment="1">
      <alignment horizontal="center" vertical="center"/>
    </xf>
    <xf numFmtId="167" fontId="10" fillId="5" borderId="6" xfId="0" applyNumberFormat="1" applyFont="1" applyFill="1" applyBorder="1" applyAlignment="1">
      <alignment horizontal="center" vertical="center"/>
    </xf>
    <xf numFmtId="167" fontId="10" fillId="5" borderId="0" xfId="0" applyNumberFormat="1" applyFont="1" applyFill="1" applyAlignment="1">
      <alignment horizontal="center" vertical="center"/>
    </xf>
    <xf numFmtId="167" fontId="10" fillId="5" borderId="7" xfId="0" applyNumberFormat="1" applyFont="1" applyFill="1" applyBorder="1" applyAlignment="1">
      <alignment horizontal="center" vertical="center"/>
    </xf>
    <xf numFmtId="0" fontId="8" fillId="3" borderId="2" xfId="12" applyFill="1" applyAlignment="1">
      <alignment horizontal="left" vertical="center" wrapText="1" indent="2"/>
    </xf>
    <xf numFmtId="0" fontId="5" fillId="7" borderId="2" xfId="0" applyFont="1" applyFill="1" applyBorder="1" applyAlignment="1">
      <alignment horizontal="left" vertical="center" wrapText="1" indent="1"/>
    </xf>
    <xf numFmtId="0" fontId="8" fillId="4" borderId="2" xfId="12" applyFill="1" applyAlignment="1">
      <alignment horizontal="left" vertical="center" wrapText="1" indent="2"/>
    </xf>
    <xf numFmtId="0" fontId="0" fillId="0" borderId="10" xfId="0" applyBorder="1" applyAlignment="1">
      <alignment wrapText="1"/>
    </xf>
    <xf numFmtId="0" fontId="8" fillId="6" borderId="2" xfId="11" applyFill="1" applyAlignment="1">
      <alignment horizontal="center" vertical="center" wrapText="1"/>
    </xf>
    <xf numFmtId="0" fontId="8" fillId="3" borderId="2" xfId="11" applyFill="1" applyAlignment="1">
      <alignment horizontal="center" vertical="center" wrapText="1"/>
    </xf>
    <xf numFmtId="0" fontId="8" fillId="7" borderId="2" xfId="11" applyFill="1" applyAlignment="1">
      <alignment horizontal="center" vertical="center" wrapText="1"/>
    </xf>
    <xf numFmtId="0" fontId="8" fillId="4" borderId="2" xfId="11" applyFill="1" applyAlignment="1">
      <alignment horizontal="center" vertical="center" wrapText="1"/>
    </xf>
    <xf numFmtId="0" fontId="8" fillId="0" borderId="2" xfId="11" applyAlignment="1">
      <alignment horizontal="center" vertical="center" wrapText="1"/>
    </xf>
    <xf numFmtId="0" fontId="7" fillId="2" borderId="2" xfId="0" applyFont="1" applyFill="1" applyBorder="1" applyAlignment="1">
      <alignment horizontal="center" vertical="center" wrapText="1"/>
    </xf>
    <xf numFmtId="0" fontId="13" fillId="0" borderId="0" xfId="0" applyFont="1" applyAlignment="1">
      <alignment wrapText="1"/>
    </xf>
    <xf numFmtId="0" fontId="14" fillId="0" borderId="0" xfId="1" applyFont="1" applyAlignment="1" applyProtection="1">
      <alignment wrapText="1"/>
    </xf>
    <xf numFmtId="166" fontId="0" fillId="5" borderId="4" xfId="0" applyNumberFormat="1" applyFill="1" applyBorder="1" applyAlignment="1">
      <alignment horizontal="left" vertical="center" wrapText="1" indent="1"/>
    </xf>
    <xf numFmtId="166" fontId="0" fillId="5" borderId="1" xfId="0" applyNumberFormat="1" applyFill="1" applyBorder="1" applyAlignment="1">
      <alignment horizontal="left" vertical="center" wrapText="1" indent="1"/>
    </xf>
    <xf numFmtId="166" fontId="0" fillId="5" borderId="5" xfId="0" applyNumberFormat="1" applyFill="1" applyBorder="1" applyAlignment="1">
      <alignment horizontal="left" vertical="center" wrapText="1" indent="1"/>
    </xf>
    <xf numFmtId="0" fontId="8" fillId="0" borderId="0" xfId="8">
      <alignment horizontal="right" indent="1"/>
    </xf>
    <xf numFmtId="0" fontId="8" fillId="0" borderId="7" xfId="8" applyBorder="1">
      <alignment horizontal="right" indent="1"/>
    </xf>
    <xf numFmtId="14" fontId="8" fillId="0" borderId="3" xfId="9" applyNumberFormat="1">
      <alignment horizontal="center" vertical="center"/>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m 1" descr="Logotipo da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JU49"/>
  <sheetViews>
    <sheetView showGridLines="0" tabSelected="1" showRuler="0" zoomScale="70" zoomScaleNormal="70" zoomScalePageLayoutView="70" workbookViewId="0">
      <pane ySplit="4" topLeftCell="A30" activePane="bottomLeft" state="frozen"/>
      <selection pane="bottomLeft" activeCell="B44" sqref="B1:JG44"/>
    </sheetView>
  </sheetViews>
  <sheetFormatPr defaultRowHeight="30" customHeight="1" x14ac:dyDescent="0.25"/>
  <cols>
    <col min="1" max="1" width="123.7109375" style="31" hidden="1" customWidth="1"/>
    <col min="2" max="2" width="30.28515625" customWidth="1"/>
    <col min="3" max="3" width="16.140625" style="34" bestFit="1" customWidth="1"/>
    <col min="4" max="4" width="9.85546875" bestFit="1" customWidth="1"/>
    <col min="5" max="5" width="8.7109375" style="3" bestFit="1" customWidth="1"/>
    <col min="6" max="6" width="8.7109375" bestFit="1" customWidth="1"/>
    <col min="7" max="7" width="2.7109375" customWidth="1"/>
    <col min="8" max="8" width="4.42578125" bestFit="1" customWidth="1"/>
    <col min="9" max="21" width="2.7109375" hidden="1" customWidth="1"/>
    <col min="22" max="30" width="1.85546875" hidden="1" customWidth="1"/>
    <col min="31" max="52" width="2.7109375" hidden="1" customWidth="1"/>
    <col min="53" max="61" width="1.85546875" hidden="1" customWidth="1"/>
    <col min="62" max="82" width="2.7109375" hidden="1" customWidth="1"/>
    <col min="83" max="91" width="1.85546875" hidden="1" customWidth="1"/>
    <col min="92" max="113" width="2.7109375" hidden="1" customWidth="1"/>
    <col min="114" max="122" width="1.85546875" hidden="1" customWidth="1"/>
    <col min="123" max="143" width="2.7109375" hidden="1" customWidth="1"/>
    <col min="144" max="152" width="1.85546875" hidden="1" customWidth="1"/>
    <col min="153" max="169" width="2.7109375" hidden="1" customWidth="1"/>
    <col min="170" max="170" width="3.140625" bestFit="1" customWidth="1"/>
    <col min="171" max="173" width="3.42578125" bestFit="1" customWidth="1"/>
    <col min="174" max="174" width="3" bestFit="1" customWidth="1"/>
    <col min="175" max="175" width="2" bestFit="1" customWidth="1"/>
    <col min="176" max="178" width="2.42578125" bestFit="1" customWidth="1"/>
    <col min="179" max="179" width="2.140625" bestFit="1" customWidth="1"/>
    <col min="180" max="180" width="2.42578125" bestFit="1" customWidth="1"/>
    <col min="181" max="181" width="2.140625" bestFit="1" customWidth="1"/>
    <col min="182" max="183" width="2.42578125" bestFit="1" customWidth="1"/>
    <col min="184" max="184" width="3" bestFit="1" customWidth="1"/>
    <col min="185" max="185" width="2.7109375" customWidth="1"/>
    <col min="186" max="188" width="3" bestFit="1" customWidth="1"/>
    <col min="189" max="189" width="2.85546875" bestFit="1" customWidth="1"/>
    <col min="190" max="190" width="3" bestFit="1" customWidth="1"/>
    <col min="191" max="191" width="2.85546875" bestFit="1" customWidth="1"/>
    <col min="192" max="193" width="3" bestFit="1" customWidth="1"/>
    <col min="194" max="194" width="3.42578125" bestFit="1" customWidth="1"/>
    <col min="195" max="195" width="3" bestFit="1" customWidth="1"/>
    <col min="196" max="198" width="3.42578125" bestFit="1" customWidth="1"/>
    <col min="199" max="199" width="3.140625" bestFit="1" customWidth="1"/>
    <col min="200" max="200" width="3.42578125" bestFit="1" customWidth="1"/>
    <col min="201" max="201" width="3.140625" bestFit="1" customWidth="1"/>
    <col min="202" max="204" width="3.42578125" bestFit="1" customWidth="1"/>
    <col min="205" max="205" width="3" bestFit="1" customWidth="1"/>
    <col min="206" max="206" width="2" bestFit="1" customWidth="1"/>
    <col min="207" max="209" width="2.42578125" bestFit="1" customWidth="1"/>
    <col min="210" max="210" width="2.140625" bestFit="1" customWidth="1"/>
    <col min="211" max="211" width="2.42578125" bestFit="1" customWidth="1"/>
    <col min="212" max="212" width="2.140625" bestFit="1" customWidth="1"/>
    <col min="213" max="214" width="2.42578125" bestFit="1" customWidth="1"/>
    <col min="215" max="215" width="3" bestFit="1" customWidth="1"/>
    <col min="216" max="216" width="2.7109375" customWidth="1"/>
    <col min="217" max="219" width="3" bestFit="1" customWidth="1"/>
    <col min="220" max="220" width="2.85546875" bestFit="1" customWidth="1"/>
    <col min="221" max="221" width="3" bestFit="1" customWidth="1"/>
    <col min="222" max="222" width="2.85546875" bestFit="1" customWidth="1"/>
    <col min="223" max="224" width="3" bestFit="1" customWidth="1"/>
    <col min="225" max="225" width="3.42578125" bestFit="1" customWidth="1"/>
    <col min="226" max="226" width="3" bestFit="1" customWidth="1"/>
    <col min="227" max="229" width="3.42578125" bestFit="1" customWidth="1"/>
    <col min="230" max="230" width="3.140625" bestFit="1" customWidth="1"/>
    <col min="231" max="231" width="3.42578125" bestFit="1" customWidth="1"/>
    <col min="232" max="232" width="3.140625" bestFit="1" customWidth="1"/>
    <col min="233" max="235" width="3.42578125" bestFit="1" customWidth="1"/>
    <col min="236" max="236" width="2" bestFit="1" customWidth="1"/>
    <col min="237" max="239" width="2.42578125" bestFit="1" customWidth="1"/>
    <col min="240" max="240" width="2.140625" bestFit="1" customWidth="1"/>
    <col min="241" max="241" width="2.42578125" bestFit="1" customWidth="1"/>
    <col min="242" max="242" width="2.140625" bestFit="1" customWidth="1"/>
    <col min="243" max="244" width="2.42578125" bestFit="1" customWidth="1"/>
    <col min="245" max="245" width="3" bestFit="1" customWidth="1"/>
    <col min="246" max="246" width="2.7109375" customWidth="1"/>
    <col min="247" max="249" width="3" bestFit="1" customWidth="1"/>
    <col min="250" max="250" width="2.85546875" bestFit="1" customWidth="1"/>
    <col min="251" max="251" width="3" bestFit="1" customWidth="1"/>
    <col min="252" max="252" width="2.85546875" bestFit="1" customWidth="1"/>
    <col min="253" max="254" width="3" bestFit="1" customWidth="1"/>
    <col min="255" max="255" width="3.42578125" bestFit="1" customWidth="1"/>
    <col min="256" max="256" width="3" bestFit="1" customWidth="1"/>
    <col min="257" max="259" width="3.42578125" bestFit="1" customWidth="1"/>
    <col min="260" max="260" width="3.140625" bestFit="1" customWidth="1"/>
    <col min="261" max="261" width="3.42578125" bestFit="1" customWidth="1"/>
    <col min="262" max="262" width="3.140625" bestFit="1" customWidth="1"/>
    <col min="263" max="265" width="3.42578125" bestFit="1" customWidth="1"/>
    <col min="266" max="266" width="3" bestFit="1" customWidth="1"/>
    <col min="267" max="267" width="1.85546875" bestFit="1" customWidth="1"/>
    <col min="268" max="281" width="2.7109375" customWidth="1"/>
  </cols>
  <sheetData>
    <row r="1" spans="1:281" ht="30" customHeight="1" x14ac:dyDescent="0.25">
      <c r="A1" s="31" t="s">
        <v>0</v>
      </c>
      <c r="B1" s="35"/>
      <c r="C1" s="66" t="s">
        <v>10</v>
      </c>
      <c r="D1" s="67"/>
      <c r="E1" s="68">
        <v>46073</v>
      </c>
      <c r="F1" s="68"/>
    </row>
    <row r="2" spans="1:281" ht="30" customHeight="1" x14ac:dyDescent="0.25">
      <c r="A2" s="32" t="s">
        <v>1</v>
      </c>
      <c r="C2" s="66" t="s">
        <v>11</v>
      </c>
      <c r="D2" s="67"/>
      <c r="E2" s="5">
        <v>1</v>
      </c>
      <c r="I2" s="63">
        <f>I3</f>
        <v>46069</v>
      </c>
      <c r="J2" s="64"/>
      <c r="K2" s="64"/>
      <c r="L2" s="64"/>
      <c r="M2" s="64"/>
      <c r="N2" s="64"/>
      <c r="O2" s="65"/>
      <c r="P2" s="63">
        <f>P3</f>
        <v>46076</v>
      </c>
      <c r="Q2" s="64"/>
      <c r="R2" s="64"/>
      <c r="S2" s="64"/>
      <c r="T2" s="64"/>
      <c r="U2" s="64"/>
      <c r="V2" s="65"/>
      <c r="W2" s="63">
        <f>W3</f>
        <v>46083</v>
      </c>
      <c r="X2" s="64"/>
      <c r="Y2" s="64"/>
      <c r="Z2" s="64"/>
      <c r="AA2" s="64"/>
      <c r="AB2" s="64"/>
      <c r="AC2" s="65"/>
      <c r="AD2" s="63">
        <f>AD3</f>
        <v>46090</v>
      </c>
      <c r="AE2" s="64"/>
      <c r="AF2" s="64"/>
      <c r="AG2" s="64"/>
      <c r="AH2" s="64"/>
      <c r="AI2" s="64"/>
      <c r="AJ2" s="65"/>
      <c r="AK2" s="63">
        <f>AK3</f>
        <v>46097</v>
      </c>
      <c r="AL2" s="64"/>
      <c r="AM2" s="64"/>
      <c r="AN2" s="64"/>
      <c r="AO2" s="64"/>
      <c r="AP2" s="64"/>
      <c r="AQ2" s="65"/>
      <c r="AR2" s="63">
        <f>AR3</f>
        <v>46104</v>
      </c>
      <c r="AS2" s="64"/>
      <c r="AT2" s="64"/>
      <c r="AU2" s="64"/>
      <c r="AV2" s="64"/>
      <c r="AW2" s="64"/>
      <c r="AX2" s="65"/>
      <c r="AY2" s="63">
        <f>AY3</f>
        <v>46111</v>
      </c>
      <c r="AZ2" s="64"/>
      <c r="BA2" s="64"/>
      <c r="BB2" s="64"/>
      <c r="BC2" s="64"/>
      <c r="BD2" s="64"/>
      <c r="BE2" s="65"/>
      <c r="BF2" s="63">
        <f>BF3</f>
        <v>46118</v>
      </c>
      <c r="BG2" s="64"/>
      <c r="BH2" s="64"/>
      <c r="BI2" s="64"/>
      <c r="BJ2" s="64"/>
      <c r="BK2" s="64"/>
      <c r="BL2" s="65"/>
      <c r="BM2" s="63">
        <f>BM3</f>
        <v>46125</v>
      </c>
      <c r="BN2" s="64"/>
      <c r="BO2" s="64"/>
      <c r="BP2" s="64"/>
      <c r="BQ2" s="64"/>
      <c r="BR2" s="64"/>
      <c r="BS2" s="65"/>
      <c r="BT2" s="63">
        <f>BT3</f>
        <v>46132</v>
      </c>
      <c r="BU2" s="64"/>
      <c r="BV2" s="64"/>
      <c r="BW2" s="64"/>
      <c r="BX2" s="64"/>
      <c r="BY2" s="64"/>
      <c r="BZ2" s="65"/>
      <c r="CA2" s="63">
        <f>CA3</f>
        <v>46139</v>
      </c>
      <c r="CB2" s="64"/>
      <c r="CC2" s="64"/>
      <c r="CD2" s="64"/>
      <c r="CE2" s="64"/>
      <c r="CF2" s="64"/>
      <c r="CG2" s="65"/>
      <c r="CH2" s="63">
        <f>CH3</f>
        <v>46146</v>
      </c>
      <c r="CI2" s="64"/>
      <c r="CJ2" s="64"/>
      <c r="CK2" s="64"/>
      <c r="CL2" s="64"/>
      <c r="CM2" s="64"/>
      <c r="CN2" s="65"/>
      <c r="CO2" s="63">
        <f>CO3</f>
        <v>46153</v>
      </c>
      <c r="CP2" s="64"/>
      <c r="CQ2" s="64"/>
      <c r="CR2" s="64"/>
      <c r="CS2" s="64"/>
      <c r="CT2" s="64"/>
      <c r="CU2" s="65"/>
      <c r="CV2" s="63">
        <f>CV3</f>
        <v>46160</v>
      </c>
      <c r="CW2" s="64"/>
      <c r="CX2" s="64"/>
      <c r="CY2" s="64"/>
      <c r="CZ2" s="64"/>
      <c r="DA2" s="64"/>
      <c r="DB2" s="65"/>
      <c r="DC2" s="63">
        <f>DC3</f>
        <v>46167</v>
      </c>
      <c r="DD2" s="64"/>
      <c r="DE2" s="64"/>
      <c r="DF2" s="64"/>
      <c r="DG2" s="64"/>
      <c r="DH2" s="64"/>
      <c r="DI2" s="65"/>
      <c r="DJ2" s="63">
        <f>DJ3</f>
        <v>46174</v>
      </c>
      <c r="DK2" s="64"/>
      <c r="DL2" s="64"/>
      <c r="DM2" s="64"/>
      <c r="DN2" s="64"/>
      <c r="DO2" s="64"/>
      <c r="DP2" s="65"/>
      <c r="DQ2" s="63">
        <f>DQ3</f>
        <v>46181</v>
      </c>
      <c r="DR2" s="64"/>
      <c r="DS2" s="64"/>
      <c r="DT2" s="64"/>
      <c r="DU2" s="64"/>
      <c r="DV2" s="64"/>
      <c r="DW2" s="65"/>
      <c r="DX2" s="63">
        <f>DX3</f>
        <v>46188</v>
      </c>
      <c r="DY2" s="64"/>
      <c r="DZ2" s="64"/>
      <c r="EA2" s="64"/>
      <c r="EB2" s="64"/>
      <c r="EC2" s="64"/>
      <c r="ED2" s="65"/>
      <c r="EE2" s="63">
        <f>EE3</f>
        <v>46195</v>
      </c>
      <c r="EF2" s="64"/>
      <c r="EG2" s="64"/>
      <c r="EH2" s="64"/>
      <c r="EI2" s="64"/>
      <c r="EJ2" s="64"/>
      <c r="EK2" s="65"/>
      <c r="EL2" s="63">
        <f>EL3</f>
        <v>46202</v>
      </c>
      <c r="EM2" s="64"/>
      <c r="EN2" s="64"/>
      <c r="EO2" s="64"/>
      <c r="EP2" s="64"/>
      <c r="EQ2" s="64"/>
      <c r="ER2" s="65"/>
      <c r="ES2" s="63">
        <f>ES3</f>
        <v>46209</v>
      </c>
      <c r="ET2" s="64"/>
      <c r="EU2" s="64"/>
      <c r="EV2" s="64"/>
      <c r="EW2" s="64"/>
      <c r="EX2" s="64"/>
      <c r="EY2" s="65"/>
      <c r="EZ2" s="63">
        <f>EZ3</f>
        <v>46216</v>
      </c>
      <c r="FA2" s="64"/>
      <c r="FB2" s="64"/>
      <c r="FC2" s="64"/>
      <c r="FD2" s="64"/>
      <c r="FE2" s="64"/>
      <c r="FF2" s="65"/>
      <c r="FG2" s="63">
        <f>FG3</f>
        <v>46223</v>
      </c>
      <c r="FH2" s="64"/>
      <c r="FI2" s="64"/>
      <c r="FJ2" s="64"/>
      <c r="FK2" s="64"/>
      <c r="FL2" s="64"/>
      <c r="FM2" s="65"/>
      <c r="FN2" s="63">
        <f>FN3</f>
        <v>46230</v>
      </c>
      <c r="FO2" s="64"/>
      <c r="FP2" s="64"/>
      <c r="FQ2" s="64"/>
      <c r="FR2" s="64"/>
      <c r="FS2" s="64"/>
      <c r="FT2" s="65"/>
      <c r="FU2" s="63">
        <f>FU3</f>
        <v>46237</v>
      </c>
      <c r="FV2" s="64"/>
      <c r="FW2" s="64"/>
      <c r="FX2" s="64"/>
      <c r="FY2" s="64"/>
      <c r="FZ2" s="64"/>
      <c r="GA2" s="65"/>
      <c r="GB2" s="63">
        <f>GB3</f>
        <v>46244</v>
      </c>
      <c r="GC2" s="64"/>
      <c r="GD2" s="64"/>
      <c r="GE2" s="64"/>
      <c r="GF2" s="64"/>
      <c r="GG2" s="64"/>
      <c r="GH2" s="65"/>
      <c r="GI2" s="63">
        <f>GI3</f>
        <v>46251</v>
      </c>
      <c r="GJ2" s="64"/>
      <c r="GK2" s="64"/>
      <c r="GL2" s="64"/>
      <c r="GM2" s="64"/>
      <c r="GN2" s="64"/>
      <c r="GO2" s="65"/>
      <c r="GP2" s="63">
        <f>GP3</f>
        <v>46258</v>
      </c>
      <c r="GQ2" s="64"/>
      <c r="GR2" s="64"/>
      <c r="GS2" s="64"/>
      <c r="GT2" s="64"/>
      <c r="GU2" s="64"/>
      <c r="GV2" s="65"/>
      <c r="GW2" s="63">
        <f>GW3</f>
        <v>46265</v>
      </c>
      <c r="GX2" s="64"/>
      <c r="GY2" s="64"/>
      <c r="GZ2" s="64"/>
      <c r="HA2" s="64"/>
      <c r="HB2" s="64"/>
      <c r="HC2" s="65"/>
      <c r="HD2" s="63">
        <f>HD3</f>
        <v>46272</v>
      </c>
      <c r="HE2" s="64"/>
      <c r="HF2" s="64"/>
      <c r="HG2" s="64"/>
      <c r="HH2" s="64"/>
      <c r="HI2" s="64"/>
      <c r="HJ2" s="65"/>
      <c r="HK2" s="63">
        <f>HK3</f>
        <v>46279</v>
      </c>
      <c r="HL2" s="64"/>
      <c r="HM2" s="64"/>
      <c r="HN2" s="64"/>
      <c r="HO2" s="64"/>
      <c r="HP2" s="64"/>
      <c r="HQ2" s="65"/>
      <c r="HR2" s="63">
        <f>HR3</f>
        <v>46286</v>
      </c>
      <c r="HS2" s="64"/>
      <c r="HT2" s="64"/>
      <c r="HU2" s="64"/>
      <c r="HV2" s="64"/>
      <c r="HW2" s="64"/>
      <c r="HX2" s="65"/>
      <c r="HY2" s="63">
        <f>HY3</f>
        <v>46293</v>
      </c>
      <c r="HZ2" s="64"/>
      <c r="IA2" s="64"/>
      <c r="IB2" s="64"/>
      <c r="IC2" s="64"/>
      <c r="ID2" s="64"/>
      <c r="IE2" s="65"/>
      <c r="IF2" s="63">
        <f>IF3</f>
        <v>46300</v>
      </c>
      <c r="IG2" s="64"/>
      <c r="IH2" s="64"/>
      <c r="II2" s="64"/>
      <c r="IJ2" s="64"/>
      <c r="IK2" s="64"/>
      <c r="IL2" s="65"/>
      <c r="IM2" s="63">
        <f>IM3</f>
        <v>46307</v>
      </c>
      <c r="IN2" s="64"/>
      <c r="IO2" s="64"/>
      <c r="IP2" s="64"/>
      <c r="IQ2" s="64"/>
      <c r="IR2" s="64"/>
      <c r="IS2" s="65"/>
      <c r="IT2" s="63">
        <f>IT3</f>
        <v>46314</v>
      </c>
      <c r="IU2" s="64"/>
      <c r="IV2" s="64"/>
      <c r="IW2" s="64"/>
      <c r="IX2" s="64"/>
      <c r="IY2" s="64"/>
      <c r="IZ2" s="65"/>
      <c r="JA2" s="63">
        <f>JA3</f>
        <v>46321</v>
      </c>
      <c r="JB2" s="64"/>
      <c r="JC2" s="64"/>
      <c r="JD2" s="64"/>
      <c r="JE2" s="64"/>
      <c r="JF2" s="64"/>
      <c r="JG2" s="65"/>
      <c r="JH2" s="63">
        <f>JH3</f>
        <v>46328</v>
      </c>
      <c r="JI2" s="64"/>
      <c r="JJ2" s="64"/>
      <c r="JK2" s="64"/>
      <c r="JL2" s="64"/>
      <c r="JM2" s="64"/>
      <c r="JN2" s="65"/>
      <c r="JO2" s="63">
        <f>JO3</f>
        <v>46335</v>
      </c>
      <c r="JP2" s="64"/>
      <c r="JQ2" s="64"/>
      <c r="JR2" s="64"/>
      <c r="JS2" s="64"/>
      <c r="JT2" s="64"/>
      <c r="JU2" s="65"/>
    </row>
    <row r="3" spans="1:281" ht="15" customHeight="1" x14ac:dyDescent="0.25">
      <c r="A3" s="32" t="s">
        <v>2</v>
      </c>
      <c r="B3" s="37"/>
      <c r="C3" s="54"/>
      <c r="D3" s="37"/>
      <c r="E3" s="37"/>
      <c r="F3" s="37"/>
      <c r="G3" s="37"/>
      <c r="I3" s="48">
        <f>Início_do_projeto-WEEKDAY(Início_do_projeto,1)+2+7*(Semana_de_exibição-1)</f>
        <v>46069</v>
      </c>
      <c r="J3" s="49">
        <f>I3+1</f>
        <v>46070</v>
      </c>
      <c r="K3" s="49">
        <f t="shared" ref="K3:AX3" si="0">J3+1</f>
        <v>46071</v>
      </c>
      <c r="L3" s="49">
        <f t="shared" si="0"/>
        <v>46072</v>
      </c>
      <c r="M3" s="49">
        <f t="shared" si="0"/>
        <v>46073</v>
      </c>
      <c r="N3" s="49">
        <f t="shared" si="0"/>
        <v>46074</v>
      </c>
      <c r="O3" s="50">
        <f t="shared" si="0"/>
        <v>46075</v>
      </c>
      <c r="P3" s="48">
        <f>O3+1</f>
        <v>46076</v>
      </c>
      <c r="Q3" s="49">
        <f>P3+1</f>
        <v>46077</v>
      </c>
      <c r="R3" s="49">
        <f t="shared" si="0"/>
        <v>46078</v>
      </c>
      <c r="S3" s="49">
        <f t="shared" si="0"/>
        <v>46079</v>
      </c>
      <c r="T3" s="49">
        <f t="shared" si="0"/>
        <v>46080</v>
      </c>
      <c r="U3" s="49">
        <f t="shared" si="0"/>
        <v>46081</v>
      </c>
      <c r="V3" s="50">
        <f t="shared" si="0"/>
        <v>46082</v>
      </c>
      <c r="W3" s="48">
        <f>V3+1</f>
        <v>46083</v>
      </c>
      <c r="X3" s="49">
        <f>W3+1</f>
        <v>46084</v>
      </c>
      <c r="Y3" s="49">
        <f t="shared" si="0"/>
        <v>46085</v>
      </c>
      <c r="Z3" s="49">
        <f t="shared" si="0"/>
        <v>46086</v>
      </c>
      <c r="AA3" s="49">
        <f t="shared" si="0"/>
        <v>46087</v>
      </c>
      <c r="AB3" s="49">
        <f t="shared" si="0"/>
        <v>46088</v>
      </c>
      <c r="AC3" s="50">
        <f t="shared" si="0"/>
        <v>46089</v>
      </c>
      <c r="AD3" s="48">
        <f>AC3+1</f>
        <v>46090</v>
      </c>
      <c r="AE3" s="49">
        <f>AD3+1</f>
        <v>46091</v>
      </c>
      <c r="AF3" s="49">
        <f t="shared" si="0"/>
        <v>46092</v>
      </c>
      <c r="AG3" s="49">
        <f t="shared" si="0"/>
        <v>46093</v>
      </c>
      <c r="AH3" s="49">
        <f t="shared" si="0"/>
        <v>46094</v>
      </c>
      <c r="AI3" s="49">
        <f t="shared" si="0"/>
        <v>46095</v>
      </c>
      <c r="AJ3" s="50">
        <f t="shared" si="0"/>
        <v>46096</v>
      </c>
      <c r="AK3" s="48">
        <f>AJ3+1</f>
        <v>46097</v>
      </c>
      <c r="AL3" s="49">
        <f>AK3+1</f>
        <v>46098</v>
      </c>
      <c r="AM3" s="49">
        <f t="shared" si="0"/>
        <v>46099</v>
      </c>
      <c r="AN3" s="49">
        <f t="shared" si="0"/>
        <v>46100</v>
      </c>
      <c r="AO3" s="49">
        <f t="shared" si="0"/>
        <v>46101</v>
      </c>
      <c r="AP3" s="49">
        <f t="shared" si="0"/>
        <v>46102</v>
      </c>
      <c r="AQ3" s="50">
        <f t="shared" si="0"/>
        <v>46103</v>
      </c>
      <c r="AR3" s="48">
        <f>AQ3+1</f>
        <v>46104</v>
      </c>
      <c r="AS3" s="49">
        <f>AR3+1</f>
        <v>46105</v>
      </c>
      <c r="AT3" s="49">
        <f t="shared" si="0"/>
        <v>46106</v>
      </c>
      <c r="AU3" s="49">
        <f t="shared" si="0"/>
        <v>46107</v>
      </c>
      <c r="AV3" s="49">
        <f t="shared" si="0"/>
        <v>46108</v>
      </c>
      <c r="AW3" s="49">
        <f t="shared" si="0"/>
        <v>46109</v>
      </c>
      <c r="AX3" s="50">
        <f t="shared" si="0"/>
        <v>46110</v>
      </c>
      <c r="AY3" s="48">
        <f>AX3+1</f>
        <v>46111</v>
      </c>
      <c r="AZ3" s="49">
        <f>AY3+1</f>
        <v>46112</v>
      </c>
      <c r="BA3" s="49">
        <f t="shared" ref="BA3:BE3" si="1">AZ3+1</f>
        <v>46113</v>
      </c>
      <c r="BB3" s="49">
        <f t="shared" si="1"/>
        <v>46114</v>
      </c>
      <c r="BC3" s="49">
        <f t="shared" si="1"/>
        <v>46115</v>
      </c>
      <c r="BD3" s="49">
        <f t="shared" si="1"/>
        <v>46116</v>
      </c>
      <c r="BE3" s="50">
        <f t="shared" si="1"/>
        <v>46117</v>
      </c>
      <c r="BF3" s="48">
        <f>BE3+1</f>
        <v>46118</v>
      </c>
      <c r="BG3" s="49">
        <f>BF3+1</f>
        <v>46119</v>
      </c>
      <c r="BH3" s="49">
        <f t="shared" ref="BH3:BL3" si="2">BG3+1</f>
        <v>46120</v>
      </c>
      <c r="BI3" s="49">
        <f t="shared" si="2"/>
        <v>46121</v>
      </c>
      <c r="BJ3" s="49">
        <f t="shared" si="2"/>
        <v>46122</v>
      </c>
      <c r="BK3" s="49">
        <f t="shared" si="2"/>
        <v>46123</v>
      </c>
      <c r="BL3" s="50">
        <f t="shared" si="2"/>
        <v>46124</v>
      </c>
      <c r="BM3" s="48">
        <f>BL3+1</f>
        <v>46125</v>
      </c>
      <c r="BN3" s="49">
        <f>BM3+1</f>
        <v>46126</v>
      </c>
      <c r="BO3" s="49">
        <f t="shared" ref="BO3" si="3">BN3+1</f>
        <v>46127</v>
      </c>
      <c r="BP3" s="49">
        <f t="shared" ref="BP3" si="4">BO3+1</f>
        <v>46128</v>
      </c>
      <c r="BQ3" s="49">
        <f t="shared" ref="BQ3" si="5">BP3+1</f>
        <v>46129</v>
      </c>
      <c r="BR3" s="49">
        <f t="shared" ref="BR3" si="6">BQ3+1</f>
        <v>46130</v>
      </c>
      <c r="BS3" s="50">
        <f t="shared" ref="BS3" si="7">BR3+1</f>
        <v>46131</v>
      </c>
      <c r="BT3" s="48">
        <f>BS3+1</f>
        <v>46132</v>
      </c>
      <c r="BU3" s="49">
        <f>BT3+1</f>
        <v>46133</v>
      </c>
      <c r="BV3" s="49">
        <f t="shared" ref="BV3" si="8">BU3+1</f>
        <v>46134</v>
      </c>
      <c r="BW3" s="49">
        <f t="shared" ref="BW3" si="9">BV3+1</f>
        <v>46135</v>
      </c>
      <c r="BX3" s="49">
        <f t="shared" ref="BX3" si="10">BW3+1</f>
        <v>46136</v>
      </c>
      <c r="BY3" s="49">
        <f t="shared" ref="BY3" si="11">BX3+1</f>
        <v>46137</v>
      </c>
      <c r="BZ3" s="50">
        <f t="shared" ref="BZ3" si="12">BY3+1</f>
        <v>46138</v>
      </c>
      <c r="CA3" s="48">
        <f>BZ3+1</f>
        <v>46139</v>
      </c>
      <c r="CB3" s="49">
        <f>CA3+1</f>
        <v>46140</v>
      </c>
      <c r="CC3" s="49">
        <f t="shared" ref="CC3" si="13">CB3+1</f>
        <v>46141</v>
      </c>
      <c r="CD3" s="49">
        <f t="shared" ref="CD3" si="14">CC3+1</f>
        <v>46142</v>
      </c>
      <c r="CE3" s="49">
        <f t="shared" ref="CE3" si="15">CD3+1</f>
        <v>46143</v>
      </c>
      <c r="CF3" s="49">
        <f t="shared" ref="CF3" si="16">CE3+1</f>
        <v>46144</v>
      </c>
      <c r="CG3" s="50">
        <f t="shared" ref="CG3" si="17">CF3+1</f>
        <v>46145</v>
      </c>
      <c r="CH3" s="48">
        <f>CG3+1</f>
        <v>46146</v>
      </c>
      <c r="CI3" s="49">
        <f>CH3+1</f>
        <v>46147</v>
      </c>
      <c r="CJ3" s="49">
        <f t="shared" ref="CJ3" si="18">CI3+1</f>
        <v>46148</v>
      </c>
      <c r="CK3" s="49">
        <f t="shared" ref="CK3" si="19">CJ3+1</f>
        <v>46149</v>
      </c>
      <c r="CL3" s="49">
        <f t="shared" ref="CL3" si="20">CK3+1</f>
        <v>46150</v>
      </c>
      <c r="CM3" s="49">
        <f t="shared" ref="CM3" si="21">CL3+1</f>
        <v>46151</v>
      </c>
      <c r="CN3" s="50">
        <f t="shared" ref="CN3" si="22">CM3+1</f>
        <v>46152</v>
      </c>
      <c r="CO3" s="48">
        <f>CN3+1</f>
        <v>46153</v>
      </c>
      <c r="CP3" s="49">
        <f>CO3+1</f>
        <v>46154</v>
      </c>
      <c r="CQ3" s="49">
        <f t="shared" ref="CQ3" si="23">CP3+1</f>
        <v>46155</v>
      </c>
      <c r="CR3" s="49">
        <f t="shared" ref="CR3" si="24">CQ3+1</f>
        <v>46156</v>
      </c>
      <c r="CS3" s="49">
        <f t="shared" ref="CS3" si="25">CR3+1</f>
        <v>46157</v>
      </c>
      <c r="CT3" s="49">
        <f t="shared" ref="CT3" si="26">CS3+1</f>
        <v>46158</v>
      </c>
      <c r="CU3" s="50">
        <f t="shared" ref="CU3" si="27">CT3+1</f>
        <v>46159</v>
      </c>
      <c r="CV3" s="48">
        <f>CU3+1</f>
        <v>46160</v>
      </c>
      <c r="CW3" s="49">
        <f>CV3+1</f>
        <v>46161</v>
      </c>
      <c r="CX3" s="49">
        <f t="shared" ref="CX3" si="28">CW3+1</f>
        <v>46162</v>
      </c>
      <c r="CY3" s="49">
        <f t="shared" ref="CY3" si="29">CX3+1</f>
        <v>46163</v>
      </c>
      <c r="CZ3" s="49">
        <f t="shared" ref="CZ3" si="30">CY3+1</f>
        <v>46164</v>
      </c>
      <c r="DA3" s="49">
        <f t="shared" ref="DA3" si="31">CZ3+1</f>
        <v>46165</v>
      </c>
      <c r="DB3" s="50">
        <f t="shared" ref="DB3" si="32">DA3+1</f>
        <v>46166</v>
      </c>
      <c r="DC3" s="48">
        <f>DB3+1</f>
        <v>46167</v>
      </c>
      <c r="DD3" s="49">
        <f>DC3+1</f>
        <v>46168</v>
      </c>
      <c r="DE3" s="49">
        <f t="shared" ref="DE3" si="33">DD3+1</f>
        <v>46169</v>
      </c>
      <c r="DF3" s="49">
        <f t="shared" ref="DF3" si="34">DE3+1</f>
        <v>46170</v>
      </c>
      <c r="DG3" s="49">
        <f t="shared" ref="DG3" si="35">DF3+1</f>
        <v>46171</v>
      </c>
      <c r="DH3" s="49">
        <f t="shared" ref="DH3" si="36">DG3+1</f>
        <v>46172</v>
      </c>
      <c r="DI3" s="50">
        <f t="shared" ref="DI3" si="37">DH3+1</f>
        <v>46173</v>
      </c>
      <c r="DJ3" s="48">
        <f>DI3+1</f>
        <v>46174</v>
      </c>
      <c r="DK3" s="49">
        <f>DJ3+1</f>
        <v>46175</v>
      </c>
      <c r="DL3" s="49">
        <f t="shared" ref="DL3" si="38">DK3+1</f>
        <v>46176</v>
      </c>
      <c r="DM3" s="49">
        <f t="shared" ref="DM3" si="39">DL3+1</f>
        <v>46177</v>
      </c>
      <c r="DN3" s="49">
        <f t="shared" ref="DN3" si="40">DM3+1</f>
        <v>46178</v>
      </c>
      <c r="DO3" s="49">
        <f t="shared" ref="DO3" si="41">DN3+1</f>
        <v>46179</v>
      </c>
      <c r="DP3" s="50">
        <f t="shared" ref="DP3" si="42">DO3+1</f>
        <v>46180</v>
      </c>
      <c r="DQ3" s="48">
        <f>DP3+1</f>
        <v>46181</v>
      </c>
      <c r="DR3" s="49">
        <f>DQ3+1</f>
        <v>46182</v>
      </c>
      <c r="DS3" s="49">
        <f t="shared" ref="DS3" si="43">DR3+1</f>
        <v>46183</v>
      </c>
      <c r="DT3" s="49">
        <f t="shared" ref="DT3" si="44">DS3+1</f>
        <v>46184</v>
      </c>
      <c r="DU3" s="49">
        <f t="shared" ref="DU3" si="45">DT3+1</f>
        <v>46185</v>
      </c>
      <c r="DV3" s="49">
        <f t="shared" ref="DV3" si="46">DU3+1</f>
        <v>46186</v>
      </c>
      <c r="DW3" s="50">
        <f t="shared" ref="DW3" si="47">DV3+1</f>
        <v>46187</v>
      </c>
      <c r="DX3" s="48">
        <f>DW3+1</f>
        <v>46188</v>
      </c>
      <c r="DY3" s="49">
        <f>DX3+1</f>
        <v>46189</v>
      </c>
      <c r="DZ3" s="49">
        <f t="shared" ref="DZ3" si="48">DY3+1</f>
        <v>46190</v>
      </c>
      <c r="EA3" s="49">
        <f t="shared" ref="EA3" si="49">DZ3+1</f>
        <v>46191</v>
      </c>
      <c r="EB3" s="49">
        <f t="shared" ref="EB3" si="50">EA3+1</f>
        <v>46192</v>
      </c>
      <c r="EC3" s="49">
        <f t="shared" ref="EC3" si="51">EB3+1</f>
        <v>46193</v>
      </c>
      <c r="ED3" s="50">
        <f t="shared" ref="ED3" si="52">EC3+1</f>
        <v>46194</v>
      </c>
      <c r="EE3" s="48">
        <f>ED3+1</f>
        <v>46195</v>
      </c>
      <c r="EF3" s="49">
        <f>EE3+1</f>
        <v>46196</v>
      </c>
      <c r="EG3" s="49">
        <f t="shared" ref="EG3" si="53">EF3+1</f>
        <v>46197</v>
      </c>
      <c r="EH3" s="49">
        <f t="shared" ref="EH3" si="54">EG3+1</f>
        <v>46198</v>
      </c>
      <c r="EI3" s="49">
        <f t="shared" ref="EI3" si="55">EH3+1</f>
        <v>46199</v>
      </c>
      <c r="EJ3" s="49">
        <f t="shared" ref="EJ3" si="56">EI3+1</f>
        <v>46200</v>
      </c>
      <c r="EK3" s="50">
        <f t="shared" ref="EK3" si="57">EJ3+1</f>
        <v>46201</v>
      </c>
      <c r="EL3" s="48">
        <f>EK3+1</f>
        <v>46202</v>
      </c>
      <c r="EM3" s="49">
        <f>EL3+1</f>
        <v>46203</v>
      </c>
      <c r="EN3" s="49">
        <f t="shared" ref="EN3" si="58">EM3+1</f>
        <v>46204</v>
      </c>
      <c r="EO3" s="49">
        <f t="shared" ref="EO3" si="59">EN3+1</f>
        <v>46205</v>
      </c>
      <c r="EP3" s="49">
        <f t="shared" ref="EP3" si="60">EO3+1</f>
        <v>46206</v>
      </c>
      <c r="EQ3" s="49">
        <f t="shared" ref="EQ3" si="61">EP3+1</f>
        <v>46207</v>
      </c>
      <c r="ER3" s="50">
        <f t="shared" ref="ER3" si="62">EQ3+1</f>
        <v>46208</v>
      </c>
      <c r="ES3" s="48">
        <f>ER3+1</f>
        <v>46209</v>
      </c>
      <c r="ET3" s="49">
        <f>ES3+1</f>
        <v>46210</v>
      </c>
      <c r="EU3" s="49">
        <f t="shared" ref="EU3" si="63">ET3+1</f>
        <v>46211</v>
      </c>
      <c r="EV3" s="49">
        <f t="shared" ref="EV3" si="64">EU3+1</f>
        <v>46212</v>
      </c>
      <c r="EW3" s="49">
        <f t="shared" ref="EW3" si="65">EV3+1</f>
        <v>46213</v>
      </c>
      <c r="EX3" s="49">
        <f t="shared" ref="EX3" si="66">EW3+1</f>
        <v>46214</v>
      </c>
      <c r="EY3" s="50">
        <f t="shared" ref="EY3" si="67">EX3+1</f>
        <v>46215</v>
      </c>
      <c r="EZ3" s="48">
        <f>EY3+1</f>
        <v>46216</v>
      </c>
      <c r="FA3" s="49">
        <f>EZ3+1</f>
        <v>46217</v>
      </c>
      <c r="FB3" s="49">
        <f t="shared" ref="FB3" si="68">FA3+1</f>
        <v>46218</v>
      </c>
      <c r="FC3" s="49">
        <f t="shared" ref="FC3" si="69">FB3+1</f>
        <v>46219</v>
      </c>
      <c r="FD3" s="49">
        <f t="shared" ref="FD3" si="70">FC3+1</f>
        <v>46220</v>
      </c>
      <c r="FE3" s="49">
        <f t="shared" ref="FE3" si="71">FD3+1</f>
        <v>46221</v>
      </c>
      <c r="FF3" s="50">
        <f t="shared" ref="FF3" si="72">FE3+1</f>
        <v>46222</v>
      </c>
      <c r="FG3" s="48">
        <f>FF3+1</f>
        <v>46223</v>
      </c>
      <c r="FH3" s="49">
        <f>FG3+1</f>
        <v>46224</v>
      </c>
      <c r="FI3" s="49">
        <f t="shared" ref="FI3" si="73">FH3+1</f>
        <v>46225</v>
      </c>
      <c r="FJ3" s="49">
        <f t="shared" ref="FJ3" si="74">FI3+1</f>
        <v>46226</v>
      </c>
      <c r="FK3" s="49">
        <f t="shared" ref="FK3" si="75">FJ3+1</f>
        <v>46227</v>
      </c>
      <c r="FL3" s="49">
        <f t="shared" ref="FL3" si="76">FK3+1</f>
        <v>46228</v>
      </c>
      <c r="FM3" s="50">
        <f t="shared" ref="FM3" si="77">FL3+1</f>
        <v>46229</v>
      </c>
      <c r="FN3" s="48">
        <f>FM3+1</f>
        <v>46230</v>
      </c>
      <c r="FO3" s="49">
        <f>FN3+1</f>
        <v>46231</v>
      </c>
      <c r="FP3" s="49">
        <f t="shared" ref="FP3" si="78">FO3+1</f>
        <v>46232</v>
      </c>
      <c r="FQ3" s="49">
        <f t="shared" ref="FQ3" si="79">FP3+1</f>
        <v>46233</v>
      </c>
      <c r="FR3" s="49">
        <f t="shared" ref="FR3" si="80">FQ3+1</f>
        <v>46234</v>
      </c>
      <c r="FS3" s="49">
        <f t="shared" ref="FS3" si="81">FR3+1</f>
        <v>46235</v>
      </c>
      <c r="FT3" s="50">
        <f t="shared" ref="FT3" si="82">FS3+1</f>
        <v>46236</v>
      </c>
      <c r="FU3" s="48">
        <f>FT3+1</f>
        <v>46237</v>
      </c>
      <c r="FV3" s="49">
        <f>FU3+1</f>
        <v>46238</v>
      </c>
      <c r="FW3" s="49">
        <f t="shared" ref="FW3" si="83">FV3+1</f>
        <v>46239</v>
      </c>
      <c r="FX3" s="49">
        <f t="shared" ref="FX3" si="84">FW3+1</f>
        <v>46240</v>
      </c>
      <c r="FY3" s="49">
        <f t="shared" ref="FY3" si="85">FX3+1</f>
        <v>46241</v>
      </c>
      <c r="FZ3" s="49">
        <f t="shared" ref="FZ3" si="86">FY3+1</f>
        <v>46242</v>
      </c>
      <c r="GA3" s="50">
        <f t="shared" ref="GA3" si="87">FZ3+1</f>
        <v>46243</v>
      </c>
      <c r="GB3" s="48">
        <f>GA3+1</f>
        <v>46244</v>
      </c>
      <c r="GC3" s="49">
        <f>GB3+1</f>
        <v>46245</v>
      </c>
      <c r="GD3" s="49">
        <f t="shared" ref="GD3" si="88">GC3+1</f>
        <v>46246</v>
      </c>
      <c r="GE3" s="49">
        <f t="shared" ref="GE3" si="89">GD3+1</f>
        <v>46247</v>
      </c>
      <c r="GF3" s="49">
        <f t="shared" ref="GF3" si="90">GE3+1</f>
        <v>46248</v>
      </c>
      <c r="GG3" s="49">
        <f t="shared" ref="GG3" si="91">GF3+1</f>
        <v>46249</v>
      </c>
      <c r="GH3" s="50">
        <f t="shared" ref="GH3" si="92">GG3+1</f>
        <v>46250</v>
      </c>
      <c r="GI3" s="48">
        <f>GH3+1</f>
        <v>46251</v>
      </c>
      <c r="GJ3" s="49">
        <f>GI3+1</f>
        <v>46252</v>
      </c>
      <c r="GK3" s="49">
        <f t="shared" ref="GK3" si="93">GJ3+1</f>
        <v>46253</v>
      </c>
      <c r="GL3" s="49">
        <f t="shared" ref="GL3" si="94">GK3+1</f>
        <v>46254</v>
      </c>
      <c r="GM3" s="49">
        <f t="shared" ref="GM3" si="95">GL3+1</f>
        <v>46255</v>
      </c>
      <c r="GN3" s="49">
        <f t="shared" ref="GN3" si="96">GM3+1</f>
        <v>46256</v>
      </c>
      <c r="GO3" s="50">
        <f t="shared" ref="GO3" si="97">GN3+1</f>
        <v>46257</v>
      </c>
      <c r="GP3" s="48">
        <f>GO3+1</f>
        <v>46258</v>
      </c>
      <c r="GQ3" s="49">
        <f>GP3+1</f>
        <v>46259</v>
      </c>
      <c r="GR3" s="49">
        <f t="shared" ref="GR3" si="98">GQ3+1</f>
        <v>46260</v>
      </c>
      <c r="GS3" s="49">
        <f t="shared" ref="GS3" si="99">GR3+1</f>
        <v>46261</v>
      </c>
      <c r="GT3" s="49">
        <f t="shared" ref="GT3" si="100">GS3+1</f>
        <v>46262</v>
      </c>
      <c r="GU3" s="49">
        <f t="shared" ref="GU3" si="101">GT3+1</f>
        <v>46263</v>
      </c>
      <c r="GV3" s="50">
        <f t="shared" ref="GV3" si="102">GU3+1</f>
        <v>46264</v>
      </c>
      <c r="GW3" s="48">
        <f>GV3+1</f>
        <v>46265</v>
      </c>
      <c r="GX3" s="49">
        <f>GW3+1</f>
        <v>46266</v>
      </c>
      <c r="GY3" s="49">
        <f t="shared" ref="GY3" si="103">GX3+1</f>
        <v>46267</v>
      </c>
      <c r="GZ3" s="49">
        <f t="shared" ref="GZ3" si="104">GY3+1</f>
        <v>46268</v>
      </c>
      <c r="HA3" s="49">
        <f t="shared" ref="HA3" si="105">GZ3+1</f>
        <v>46269</v>
      </c>
      <c r="HB3" s="49">
        <f t="shared" ref="HB3" si="106">HA3+1</f>
        <v>46270</v>
      </c>
      <c r="HC3" s="50">
        <f t="shared" ref="HC3" si="107">HB3+1</f>
        <v>46271</v>
      </c>
      <c r="HD3" s="48">
        <f>HC3+1</f>
        <v>46272</v>
      </c>
      <c r="HE3" s="49">
        <f>HD3+1</f>
        <v>46273</v>
      </c>
      <c r="HF3" s="49">
        <f t="shared" ref="HF3" si="108">HE3+1</f>
        <v>46274</v>
      </c>
      <c r="HG3" s="49">
        <f t="shared" ref="HG3" si="109">HF3+1</f>
        <v>46275</v>
      </c>
      <c r="HH3" s="49">
        <f t="shared" ref="HH3" si="110">HG3+1</f>
        <v>46276</v>
      </c>
      <c r="HI3" s="49">
        <f t="shared" ref="HI3" si="111">HH3+1</f>
        <v>46277</v>
      </c>
      <c r="HJ3" s="50">
        <f t="shared" ref="HJ3" si="112">HI3+1</f>
        <v>46278</v>
      </c>
      <c r="HK3" s="48">
        <f>HJ3+1</f>
        <v>46279</v>
      </c>
      <c r="HL3" s="49">
        <f>HK3+1</f>
        <v>46280</v>
      </c>
      <c r="HM3" s="49">
        <f t="shared" ref="HM3" si="113">HL3+1</f>
        <v>46281</v>
      </c>
      <c r="HN3" s="49">
        <f t="shared" ref="HN3" si="114">HM3+1</f>
        <v>46282</v>
      </c>
      <c r="HO3" s="49">
        <f t="shared" ref="HO3" si="115">HN3+1</f>
        <v>46283</v>
      </c>
      <c r="HP3" s="49">
        <f t="shared" ref="HP3" si="116">HO3+1</f>
        <v>46284</v>
      </c>
      <c r="HQ3" s="50">
        <f t="shared" ref="HQ3" si="117">HP3+1</f>
        <v>46285</v>
      </c>
      <c r="HR3" s="48">
        <f>HQ3+1</f>
        <v>46286</v>
      </c>
      <c r="HS3" s="49">
        <f>HR3+1</f>
        <v>46287</v>
      </c>
      <c r="HT3" s="49">
        <f t="shared" ref="HT3" si="118">HS3+1</f>
        <v>46288</v>
      </c>
      <c r="HU3" s="49">
        <f t="shared" ref="HU3" si="119">HT3+1</f>
        <v>46289</v>
      </c>
      <c r="HV3" s="49">
        <f t="shared" ref="HV3" si="120">HU3+1</f>
        <v>46290</v>
      </c>
      <c r="HW3" s="49">
        <f t="shared" ref="HW3" si="121">HV3+1</f>
        <v>46291</v>
      </c>
      <c r="HX3" s="50">
        <f t="shared" ref="HX3" si="122">HW3+1</f>
        <v>46292</v>
      </c>
      <c r="HY3" s="48">
        <f>HX3+1</f>
        <v>46293</v>
      </c>
      <c r="HZ3" s="49">
        <f>HY3+1</f>
        <v>46294</v>
      </c>
      <c r="IA3" s="49">
        <f t="shared" ref="IA3" si="123">HZ3+1</f>
        <v>46295</v>
      </c>
      <c r="IB3" s="49">
        <f t="shared" ref="IB3" si="124">IA3+1</f>
        <v>46296</v>
      </c>
      <c r="IC3" s="49">
        <f t="shared" ref="IC3" si="125">IB3+1</f>
        <v>46297</v>
      </c>
      <c r="ID3" s="49">
        <f t="shared" ref="ID3" si="126">IC3+1</f>
        <v>46298</v>
      </c>
      <c r="IE3" s="50">
        <f t="shared" ref="IE3" si="127">ID3+1</f>
        <v>46299</v>
      </c>
      <c r="IF3" s="48">
        <f>IE3+1</f>
        <v>46300</v>
      </c>
      <c r="IG3" s="49">
        <f>IF3+1</f>
        <v>46301</v>
      </c>
      <c r="IH3" s="49">
        <f t="shared" ref="IH3" si="128">IG3+1</f>
        <v>46302</v>
      </c>
      <c r="II3" s="49">
        <f t="shared" ref="II3" si="129">IH3+1</f>
        <v>46303</v>
      </c>
      <c r="IJ3" s="49">
        <f t="shared" ref="IJ3" si="130">II3+1</f>
        <v>46304</v>
      </c>
      <c r="IK3" s="49">
        <f t="shared" ref="IK3" si="131">IJ3+1</f>
        <v>46305</v>
      </c>
      <c r="IL3" s="50">
        <f t="shared" ref="IL3" si="132">IK3+1</f>
        <v>46306</v>
      </c>
      <c r="IM3" s="48">
        <f>IL3+1</f>
        <v>46307</v>
      </c>
      <c r="IN3" s="49">
        <f>IM3+1</f>
        <v>46308</v>
      </c>
      <c r="IO3" s="49">
        <f t="shared" ref="IO3" si="133">IN3+1</f>
        <v>46309</v>
      </c>
      <c r="IP3" s="49">
        <f t="shared" ref="IP3" si="134">IO3+1</f>
        <v>46310</v>
      </c>
      <c r="IQ3" s="49">
        <f t="shared" ref="IQ3" si="135">IP3+1</f>
        <v>46311</v>
      </c>
      <c r="IR3" s="49">
        <f t="shared" ref="IR3" si="136">IQ3+1</f>
        <v>46312</v>
      </c>
      <c r="IS3" s="50">
        <f t="shared" ref="IS3" si="137">IR3+1</f>
        <v>46313</v>
      </c>
      <c r="IT3" s="48">
        <f>IS3+1</f>
        <v>46314</v>
      </c>
      <c r="IU3" s="49">
        <f>IT3+1</f>
        <v>46315</v>
      </c>
      <c r="IV3" s="49">
        <f t="shared" ref="IV3" si="138">IU3+1</f>
        <v>46316</v>
      </c>
      <c r="IW3" s="49">
        <f t="shared" ref="IW3" si="139">IV3+1</f>
        <v>46317</v>
      </c>
      <c r="IX3" s="49">
        <f t="shared" ref="IX3" si="140">IW3+1</f>
        <v>46318</v>
      </c>
      <c r="IY3" s="49">
        <f t="shared" ref="IY3" si="141">IX3+1</f>
        <v>46319</v>
      </c>
      <c r="IZ3" s="50">
        <f t="shared" ref="IZ3" si="142">IY3+1</f>
        <v>46320</v>
      </c>
      <c r="JA3" s="48">
        <f>IZ3+1</f>
        <v>46321</v>
      </c>
      <c r="JB3" s="49">
        <f>JA3+1</f>
        <v>46322</v>
      </c>
      <c r="JC3" s="49">
        <f t="shared" ref="JC3" si="143">JB3+1</f>
        <v>46323</v>
      </c>
      <c r="JD3" s="49">
        <f t="shared" ref="JD3" si="144">JC3+1</f>
        <v>46324</v>
      </c>
      <c r="JE3" s="49">
        <f t="shared" ref="JE3" si="145">JD3+1</f>
        <v>46325</v>
      </c>
      <c r="JF3" s="49">
        <f t="shared" ref="JF3" si="146">JE3+1</f>
        <v>46326</v>
      </c>
      <c r="JG3" s="50">
        <f t="shared" ref="JG3" si="147">JF3+1</f>
        <v>46327</v>
      </c>
      <c r="JH3" s="48">
        <f>JG3+1</f>
        <v>46328</v>
      </c>
      <c r="JI3" s="49">
        <f>JH3+1</f>
        <v>46329</v>
      </c>
      <c r="JJ3" s="49">
        <f t="shared" ref="JJ3" si="148">JI3+1</f>
        <v>46330</v>
      </c>
      <c r="JK3" s="49">
        <f t="shared" ref="JK3" si="149">JJ3+1</f>
        <v>46331</v>
      </c>
      <c r="JL3" s="49">
        <f t="shared" ref="JL3" si="150">JK3+1</f>
        <v>46332</v>
      </c>
      <c r="JM3" s="49">
        <f t="shared" ref="JM3" si="151">JL3+1</f>
        <v>46333</v>
      </c>
      <c r="JN3" s="50">
        <f t="shared" ref="JN3" si="152">JM3+1</f>
        <v>46334</v>
      </c>
      <c r="JO3" s="48">
        <f>JN3+1</f>
        <v>46335</v>
      </c>
      <c r="JP3" s="49">
        <f>JO3+1</f>
        <v>46336</v>
      </c>
      <c r="JQ3" s="49">
        <f t="shared" ref="JQ3" si="153">JP3+1</f>
        <v>46337</v>
      </c>
      <c r="JR3" s="49">
        <f t="shared" ref="JR3" si="154">JQ3+1</f>
        <v>46338</v>
      </c>
      <c r="JS3" s="49">
        <f t="shared" ref="JS3" si="155">JR3+1</f>
        <v>46339</v>
      </c>
      <c r="JT3" s="49">
        <f t="shared" ref="JT3" si="156">JS3+1</f>
        <v>46340</v>
      </c>
      <c r="JU3" s="50">
        <f t="shared" ref="JU3" si="157">JT3+1</f>
        <v>46341</v>
      </c>
    </row>
    <row r="4" spans="1:281" ht="30" customHeight="1" thickBot="1" x14ac:dyDescent="0.3">
      <c r="A4" s="32" t="s">
        <v>3</v>
      </c>
      <c r="B4" s="6" t="s">
        <v>8</v>
      </c>
      <c r="C4" s="7" t="s">
        <v>12</v>
      </c>
      <c r="D4" s="7" t="s">
        <v>13</v>
      </c>
      <c r="E4" s="7" t="s">
        <v>14</v>
      </c>
      <c r="F4" s="7" t="s">
        <v>15</v>
      </c>
      <c r="G4" s="7"/>
      <c r="H4" s="7" t="s">
        <v>16</v>
      </c>
      <c r="I4" s="8" t="str">
        <f t="shared" ref="I4" si="158">LEFT(TEXT(I3,"ddd"),1)</f>
        <v>s</v>
      </c>
      <c r="J4" s="8" t="str">
        <f t="shared" ref="J4:AR4" si="159">LEFT(TEXT(J3,"ddd"),1)</f>
        <v>t</v>
      </c>
      <c r="K4" s="8" t="str">
        <f t="shared" si="159"/>
        <v>q</v>
      </c>
      <c r="L4" s="8" t="str">
        <f t="shared" si="159"/>
        <v>q</v>
      </c>
      <c r="M4" s="8" t="str">
        <f t="shared" si="159"/>
        <v>s</v>
      </c>
      <c r="N4" s="8" t="str">
        <f t="shared" si="159"/>
        <v>s</v>
      </c>
      <c r="O4" s="8" t="str">
        <f t="shared" si="159"/>
        <v>d</v>
      </c>
      <c r="P4" s="8" t="str">
        <f t="shared" si="159"/>
        <v>s</v>
      </c>
      <c r="Q4" s="8" t="str">
        <f t="shared" si="159"/>
        <v>t</v>
      </c>
      <c r="R4" s="8" t="str">
        <f t="shared" si="159"/>
        <v>q</v>
      </c>
      <c r="S4" s="8" t="str">
        <f t="shared" si="159"/>
        <v>q</v>
      </c>
      <c r="T4" s="8" t="str">
        <f t="shared" si="159"/>
        <v>s</v>
      </c>
      <c r="U4" s="8" t="str">
        <f t="shared" si="159"/>
        <v>s</v>
      </c>
      <c r="V4" s="8" t="str">
        <f t="shared" si="159"/>
        <v>d</v>
      </c>
      <c r="W4" s="8" t="str">
        <f t="shared" si="159"/>
        <v>s</v>
      </c>
      <c r="X4" s="8" t="str">
        <f t="shared" si="159"/>
        <v>t</v>
      </c>
      <c r="Y4" s="8" t="str">
        <f t="shared" si="159"/>
        <v>q</v>
      </c>
      <c r="Z4" s="8" t="str">
        <f t="shared" si="159"/>
        <v>q</v>
      </c>
      <c r="AA4" s="8" t="str">
        <f t="shared" si="159"/>
        <v>s</v>
      </c>
      <c r="AB4" s="8" t="str">
        <f t="shared" si="159"/>
        <v>s</v>
      </c>
      <c r="AC4" s="8" t="str">
        <f t="shared" si="159"/>
        <v>d</v>
      </c>
      <c r="AD4" s="8" t="str">
        <f t="shared" si="159"/>
        <v>s</v>
      </c>
      <c r="AE4" s="8" t="str">
        <f t="shared" si="159"/>
        <v>t</v>
      </c>
      <c r="AF4" s="8" t="str">
        <f t="shared" si="159"/>
        <v>q</v>
      </c>
      <c r="AG4" s="8" t="str">
        <f t="shared" si="159"/>
        <v>q</v>
      </c>
      <c r="AH4" s="8" t="str">
        <f t="shared" si="159"/>
        <v>s</v>
      </c>
      <c r="AI4" s="8" t="str">
        <f t="shared" si="159"/>
        <v>s</v>
      </c>
      <c r="AJ4" s="8" t="str">
        <f t="shared" si="159"/>
        <v>d</v>
      </c>
      <c r="AK4" s="8" t="str">
        <f t="shared" si="159"/>
        <v>s</v>
      </c>
      <c r="AL4" s="8" t="str">
        <f t="shared" si="159"/>
        <v>t</v>
      </c>
      <c r="AM4" s="8" t="str">
        <f t="shared" si="159"/>
        <v>q</v>
      </c>
      <c r="AN4" s="8" t="str">
        <f t="shared" si="159"/>
        <v>q</v>
      </c>
      <c r="AO4" s="8" t="str">
        <f t="shared" si="159"/>
        <v>s</v>
      </c>
      <c r="AP4" s="8" t="str">
        <f t="shared" si="159"/>
        <v>s</v>
      </c>
      <c r="AQ4" s="8" t="str">
        <f t="shared" si="159"/>
        <v>d</v>
      </c>
      <c r="AR4" s="8" t="str">
        <f t="shared" si="159"/>
        <v>s</v>
      </c>
      <c r="AS4" s="8" t="str">
        <f t="shared" ref="AS4:BL4" si="160">LEFT(TEXT(AS3,"ddd"),1)</f>
        <v>t</v>
      </c>
      <c r="AT4" s="8" t="str">
        <f t="shared" si="160"/>
        <v>q</v>
      </c>
      <c r="AU4" s="8" t="str">
        <f t="shared" si="160"/>
        <v>q</v>
      </c>
      <c r="AV4" s="8" t="str">
        <f t="shared" si="160"/>
        <v>s</v>
      </c>
      <c r="AW4" s="8" t="str">
        <f t="shared" si="160"/>
        <v>s</v>
      </c>
      <c r="AX4" s="8" t="str">
        <f t="shared" si="160"/>
        <v>d</v>
      </c>
      <c r="AY4" s="8" t="str">
        <f t="shared" si="160"/>
        <v>s</v>
      </c>
      <c r="AZ4" s="8" t="str">
        <f t="shared" si="160"/>
        <v>t</v>
      </c>
      <c r="BA4" s="8" t="str">
        <f t="shared" si="160"/>
        <v>q</v>
      </c>
      <c r="BB4" s="8" t="str">
        <f t="shared" si="160"/>
        <v>q</v>
      </c>
      <c r="BC4" s="8" t="str">
        <f t="shared" si="160"/>
        <v>s</v>
      </c>
      <c r="BD4" s="8" t="str">
        <f t="shared" si="160"/>
        <v>s</v>
      </c>
      <c r="BE4" s="8" t="str">
        <f t="shared" si="160"/>
        <v>d</v>
      </c>
      <c r="BF4" s="8" t="str">
        <f t="shared" si="160"/>
        <v>s</v>
      </c>
      <c r="BG4" s="8" t="str">
        <f t="shared" si="160"/>
        <v>t</v>
      </c>
      <c r="BH4" s="8" t="str">
        <f t="shared" si="160"/>
        <v>q</v>
      </c>
      <c r="BI4" s="8" t="str">
        <f t="shared" si="160"/>
        <v>q</v>
      </c>
      <c r="BJ4" s="8" t="str">
        <f t="shared" si="160"/>
        <v>s</v>
      </c>
      <c r="BK4" s="8" t="str">
        <f t="shared" si="160"/>
        <v>s</v>
      </c>
      <c r="BL4" s="8" t="str">
        <f t="shared" si="160"/>
        <v>d</v>
      </c>
      <c r="BM4" s="8" t="str">
        <f t="shared" ref="BM4:DI4" si="161">LEFT(TEXT(BM3,"ddd"),1)</f>
        <v>s</v>
      </c>
      <c r="BN4" s="8" t="str">
        <f t="shared" si="161"/>
        <v>t</v>
      </c>
      <c r="BO4" s="8" t="str">
        <f t="shared" si="161"/>
        <v>q</v>
      </c>
      <c r="BP4" s="8" t="str">
        <f t="shared" si="161"/>
        <v>q</v>
      </c>
      <c r="BQ4" s="8" t="str">
        <f t="shared" si="161"/>
        <v>s</v>
      </c>
      <c r="BR4" s="8" t="str">
        <f t="shared" si="161"/>
        <v>s</v>
      </c>
      <c r="BS4" s="8" t="str">
        <f t="shared" si="161"/>
        <v>d</v>
      </c>
      <c r="BT4" s="8" t="str">
        <f t="shared" si="161"/>
        <v>s</v>
      </c>
      <c r="BU4" s="8" t="str">
        <f t="shared" si="161"/>
        <v>t</v>
      </c>
      <c r="BV4" s="8" t="str">
        <f t="shared" si="161"/>
        <v>q</v>
      </c>
      <c r="BW4" s="8" t="str">
        <f t="shared" si="161"/>
        <v>q</v>
      </c>
      <c r="BX4" s="8" t="str">
        <f t="shared" si="161"/>
        <v>s</v>
      </c>
      <c r="BY4" s="8" t="str">
        <f t="shared" si="161"/>
        <v>s</v>
      </c>
      <c r="BZ4" s="8" t="str">
        <f t="shared" si="161"/>
        <v>d</v>
      </c>
      <c r="CA4" s="8" t="str">
        <f t="shared" si="161"/>
        <v>s</v>
      </c>
      <c r="CB4" s="8" t="str">
        <f t="shared" si="161"/>
        <v>t</v>
      </c>
      <c r="CC4" s="8" t="str">
        <f t="shared" si="161"/>
        <v>q</v>
      </c>
      <c r="CD4" s="8" t="str">
        <f t="shared" si="161"/>
        <v>q</v>
      </c>
      <c r="CE4" s="8" t="str">
        <f t="shared" si="161"/>
        <v>s</v>
      </c>
      <c r="CF4" s="8" t="str">
        <f t="shared" si="161"/>
        <v>s</v>
      </c>
      <c r="CG4" s="8" t="str">
        <f t="shared" si="161"/>
        <v>d</v>
      </c>
      <c r="CH4" s="8" t="str">
        <f t="shared" si="161"/>
        <v>s</v>
      </c>
      <c r="CI4" s="8" t="str">
        <f t="shared" si="161"/>
        <v>t</v>
      </c>
      <c r="CJ4" s="8" t="str">
        <f t="shared" si="161"/>
        <v>q</v>
      </c>
      <c r="CK4" s="8" t="str">
        <f t="shared" si="161"/>
        <v>q</v>
      </c>
      <c r="CL4" s="8" t="str">
        <f t="shared" si="161"/>
        <v>s</v>
      </c>
      <c r="CM4" s="8" t="str">
        <f t="shared" si="161"/>
        <v>s</v>
      </c>
      <c r="CN4" s="8" t="str">
        <f t="shared" si="161"/>
        <v>d</v>
      </c>
      <c r="CO4" s="8" t="str">
        <f t="shared" si="161"/>
        <v>s</v>
      </c>
      <c r="CP4" s="8" t="str">
        <f t="shared" si="161"/>
        <v>t</v>
      </c>
      <c r="CQ4" s="8" t="str">
        <f t="shared" si="161"/>
        <v>q</v>
      </c>
      <c r="CR4" s="8" t="str">
        <f t="shared" si="161"/>
        <v>q</v>
      </c>
      <c r="CS4" s="8" t="str">
        <f t="shared" si="161"/>
        <v>s</v>
      </c>
      <c r="CT4" s="8" t="str">
        <f t="shared" si="161"/>
        <v>s</v>
      </c>
      <c r="CU4" s="8" t="str">
        <f t="shared" si="161"/>
        <v>d</v>
      </c>
      <c r="CV4" s="8" t="str">
        <f t="shared" si="161"/>
        <v>s</v>
      </c>
      <c r="CW4" s="8" t="str">
        <f t="shared" si="161"/>
        <v>t</v>
      </c>
      <c r="CX4" s="8" t="str">
        <f t="shared" si="161"/>
        <v>q</v>
      </c>
      <c r="CY4" s="8" t="str">
        <f t="shared" si="161"/>
        <v>q</v>
      </c>
      <c r="CZ4" s="8" t="str">
        <f t="shared" si="161"/>
        <v>s</v>
      </c>
      <c r="DA4" s="8" t="str">
        <f t="shared" si="161"/>
        <v>s</v>
      </c>
      <c r="DB4" s="8" t="str">
        <f t="shared" si="161"/>
        <v>d</v>
      </c>
      <c r="DC4" s="8" t="str">
        <f t="shared" si="161"/>
        <v>s</v>
      </c>
      <c r="DD4" s="8" t="str">
        <f t="shared" si="161"/>
        <v>t</v>
      </c>
      <c r="DE4" s="8" t="str">
        <f t="shared" si="161"/>
        <v>q</v>
      </c>
      <c r="DF4" s="8" t="str">
        <f t="shared" si="161"/>
        <v>q</v>
      </c>
      <c r="DG4" s="8" t="str">
        <f t="shared" si="161"/>
        <v>s</v>
      </c>
      <c r="DH4" s="8" t="str">
        <f t="shared" si="161"/>
        <v>s</v>
      </c>
      <c r="DI4" s="8" t="str">
        <f t="shared" si="161"/>
        <v>d</v>
      </c>
      <c r="DJ4" s="8" t="str">
        <f t="shared" ref="DJ4:FU4" si="162">LEFT(TEXT(DJ3,"ddd"),1)</f>
        <v>s</v>
      </c>
      <c r="DK4" s="8" t="str">
        <f t="shared" si="162"/>
        <v>t</v>
      </c>
      <c r="DL4" s="8" t="str">
        <f t="shared" si="162"/>
        <v>q</v>
      </c>
      <c r="DM4" s="8" t="str">
        <f t="shared" si="162"/>
        <v>q</v>
      </c>
      <c r="DN4" s="8" t="str">
        <f t="shared" si="162"/>
        <v>s</v>
      </c>
      <c r="DO4" s="8" t="str">
        <f t="shared" si="162"/>
        <v>s</v>
      </c>
      <c r="DP4" s="8" t="str">
        <f t="shared" si="162"/>
        <v>d</v>
      </c>
      <c r="DQ4" s="8" t="str">
        <f t="shared" si="162"/>
        <v>s</v>
      </c>
      <c r="DR4" s="8" t="str">
        <f t="shared" si="162"/>
        <v>t</v>
      </c>
      <c r="DS4" s="8" t="str">
        <f t="shared" si="162"/>
        <v>q</v>
      </c>
      <c r="DT4" s="8" t="str">
        <f t="shared" si="162"/>
        <v>q</v>
      </c>
      <c r="DU4" s="8" t="str">
        <f t="shared" si="162"/>
        <v>s</v>
      </c>
      <c r="DV4" s="8" t="str">
        <f t="shared" si="162"/>
        <v>s</v>
      </c>
      <c r="DW4" s="8" t="str">
        <f t="shared" si="162"/>
        <v>d</v>
      </c>
      <c r="DX4" s="8" t="str">
        <f t="shared" si="162"/>
        <v>s</v>
      </c>
      <c r="DY4" s="8" t="str">
        <f t="shared" si="162"/>
        <v>t</v>
      </c>
      <c r="DZ4" s="8" t="str">
        <f t="shared" si="162"/>
        <v>q</v>
      </c>
      <c r="EA4" s="8" t="str">
        <f t="shared" si="162"/>
        <v>q</v>
      </c>
      <c r="EB4" s="8" t="str">
        <f t="shared" si="162"/>
        <v>s</v>
      </c>
      <c r="EC4" s="8" t="str">
        <f t="shared" si="162"/>
        <v>s</v>
      </c>
      <c r="ED4" s="8" t="str">
        <f t="shared" si="162"/>
        <v>d</v>
      </c>
      <c r="EE4" s="8" t="str">
        <f t="shared" si="162"/>
        <v>s</v>
      </c>
      <c r="EF4" s="8" t="str">
        <f t="shared" si="162"/>
        <v>t</v>
      </c>
      <c r="EG4" s="8" t="str">
        <f t="shared" si="162"/>
        <v>q</v>
      </c>
      <c r="EH4" s="8" t="str">
        <f t="shared" si="162"/>
        <v>q</v>
      </c>
      <c r="EI4" s="8" t="str">
        <f t="shared" si="162"/>
        <v>s</v>
      </c>
      <c r="EJ4" s="8" t="str">
        <f t="shared" si="162"/>
        <v>s</v>
      </c>
      <c r="EK4" s="8" t="str">
        <f t="shared" si="162"/>
        <v>d</v>
      </c>
      <c r="EL4" s="8" t="str">
        <f t="shared" si="162"/>
        <v>s</v>
      </c>
      <c r="EM4" s="8" t="str">
        <f t="shared" si="162"/>
        <v>t</v>
      </c>
      <c r="EN4" s="8" t="str">
        <f t="shared" si="162"/>
        <v>q</v>
      </c>
      <c r="EO4" s="8" t="str">
        <f t="shared" si="162"/>
        <v>q</v>
      </c>
      <c r="EP4" s="8" t="str">
        <f t="shared" si="162"/>
        <v>s</v>
      </c>
      <c r="EQ4" s="8" t="str">
        <f t="shared" si="162"/>
        <v>s</v>
      </c>
      <c r="ER4" s="8" t="str">
        <f t="shared" si="162"/>
        <v>d</v>
      </c>
      <c r="ES4" s="8" t="str">
        <f t="shared" si="162"/>
        <v>s</v>
      </c>
      <c r="ET4" s="8" t="str">
        <f t="shared" si="162"/>
        <v>t</v>
      </c>
      <c r="EU4" s="8" t="str">
        <f t="shared" si="162"/>
        <v>q</v>
      </c>
      <c r="EV4" s="8" t="str">
        <f t="shared" si="162"/>
        <v>q</v>
      </c>
      <c r="EW4" s="8" t="str">
        <f t="shared" si="162"/>
        <v>s</v>
      </c>
      <c r="EX4" s="8" t="str">
        <f t="shared" si="162"/>
        <v>s</v>
      </c>
      <c r="EY4" s="8" t="str">
        <f t="shared" si="162"/>
        <v>d</v>
      </c>
      <c r="EZ4" s="8" t="str">
        <f t="shared" si="162"/>
        <v>s</v>
      </c>
      <c r="FA4" s="8" t="str">
        <f t="shared" si="162"/>
        <v>t</v>
      </c>
      <c r="FB4" s="8" t="str">
        <f t="shared" si="162"/>
        <v>q</v>
      </c>
      <c r="FC4" s="8" t="str">
        <f t="shared" si="162"/>
        <v>q</v>
      </c>
      <c r="FD4" s="8" t="str">
        <f t="shared" si="162"/>
        <v>s</v>
      </c>
      <c r="FE4" s="8" t="str">
        <f t="shared" si="162"/>
        <v>s</v>
      </c>
      <c r="FF4" s="8" t="str">
        <f t="shared" si="162"/>
        <v>d</v>
      </c>
      <c r="FG4" s="8" t="str">
        <f t="shared" si="162"/>
        <v>s</v>
      </c>
      <c r="FH4" s="8" t="str">
        <f t="shared" si="162"/>
        <v>t</v>
      </c>
      <c r="FI4" s="8" t="str">
        <f t="shared" si="162"/>
        <v>q</v>
      </c>
      <c r="FJ4" s="8" t="str">
        <f t="shared" si="162"/>
        <v>q</v>
      </c>
      <c r="FK4" s="8" t="str">
        <f t="shared" si="162"/>
        <v>s</v>
      </c>
      <c r="FL4" s="8" t="str">
        <f t="shared" si="162"/>
        <v>s</v>
      </c>
      <c r="FM4" s="8" t="str">
        <f t="shared" si="162"/>
        <v>d</v>
      </c>
      <c r="FN4" s="8" t="str">
        <f t="shared" si="162"/>
        <v>s</v>
      </c>
      <c r="FO4" s="8" t="str">
        <f t="shared" si="162"/>
        <v>t</v>
      </c>
      <c r="FP4" s="8" t="str">
        <f t="shared" si="162"/>
        <v>q</v>
      </c>
      <c r="FQ4" s="8" t="str">
        <f t="shared" si="162"/>
        <v>q</v>
      </c>
      <c r="FR4" s="8" t="str">
        <f t="shared" si="162"/>
        <v>s</v>
      </c>
      <c r="FS4" s="8" t="str">
        <f t="shared" si="162"/>
        <v>s</v>
      </c>
      <c r="FT4" s="8" t="str">
        <f t="shared" si="162"/>
        <v>d</v>
      </c>
      <c r="FU4" s="8" t="str">
        <f t="shared" si="162"/>
        <v>s</v>
      </c>
      <c r="FV4" s="8" t="str">
        <f t="shared" ref="FV4:IG4" si="163">LEFT(TEXT(FV3,"ddd"),1)</f>
        <v>t</v>
      </c>
      <c r="FW4" s="8" t="str">
        <f t="shared" si="163"/>
        <v>q</v>
      </c>
      <c r="FX4" s="8" t="str">
        <f t="shared" si="163"/>
        <v>q</v>
      </c>
      <c r="FY4" s="8" t="str">
        <f t="shared" si="163"/>
        <v>s</v>
      </c>
      <c r="FZ4" s="8" t="str">
        <f t="shared" si="163"/>
        <v>s</v>
      </c>
      <c r="GA4" s="8" t="str">
        <f t="shared" si="163"/>
        <v>d</v>
      </c>
      <c r="GB4" s="8" t="str">
        <f t="shared" si="163"/>
        <v>s</v>
      </c>
      <c r="GC4" s="8" t="str">
        <f t="shared" si="163"/>
        <v>t</v>
      </c>
      <c r="GD4" s="8" t="str">
        <f t="shared" si="163"/>
        <v>q</v>
      </c>
      <c r="GE4" s="8" t="str">
        <f t="shared" si="163"/>
        <v>q</v>
      </c>
      <c r="GF4" s="8" t="str">
        <f t="shared" si="163"/>
        <v>s</v>
      </c>
      <c r="GG4" s="8" t="str">
        <f t="shared" si="163"/>
        <v>s</v>
      </c>
      <c r="GH4" s="8" t="str">
        <f t="shared" si="163"/>
        <v>d</v>
      </c>
      <c r="GI4" s="8" t="str">
        <f t="shared" si="163"/>
        <v>s</v>
      </c>
      <c r="GJ4" s="8" t="str">
        <f t="shared" si="163"/>
        <v>t</v>
      </c>
      <c r="GK4" s="8" t="str">
        <f t="shared" si="163"/>
        <v>q</v>
      </c>
      <c r="GL4" s="8" t="str">
        <f t="shared" si="163"/>
        <v>q</v>
      </c>
      <c r="GM4" s="8" t="str">
        <f t="shared" si="163"/>
        <v>s</v>
      </c>
      <c r="GN4" s="8" t="str">
        <f t="shared" si="163"/>
        <v>s</v>
      </c>
      <c r="GO4" s="8" t="str">
        <f t="shared" si="163"/>
        <v>d</v>
      </c>
      <c r="GP4" s="8" t="str">
        <f t="shared" si="163"/>
        <v>s</v>
      </c>
      <c r="GQ4" s="8" t="str">
        <f t="shared" si="163"/>
        <v>t</v>
      </c>
      <c r="GR4" s="8" t="str">
        <f t="shared" si="163"/>
        <v>q</v>
      </c>
      <c r="GS4" s="8" t="str">
        <f t="shared" si="163"/>
        <v>q</v>
      </c>
      <c r="GT4" s="8" t="str">
        <f t="shared" si="163"/>
        <v>s</v>
      </c>
      <c r="GU4" s="8" t="str">
        <f t="shared" si="163"/>
        <v>s</v>
      </c>
      <c r="GV4" s="8" t="str">
        <f t="shared" si="163"/>
        <v>d</v>
      </c>
      <c r="GW4" s="8" t="str">
        <f t="shared" si="163"/>
        <v>s</v>
      </c>
      <c r="GX4" s="8" t="str">
        <f t="shared" si="163"/>
        <v>t</v>
      </c>
      <c r="GY4" s="8" t="str">
        <f t="shared" si="163"/>
        <v>q</v>
      </c>
      <c r="GZ4" s="8" t="str">
        <f t="shared" si="163"/>
        <v>q</v>
      </c>
      <c r="HA4" s="8" t="str">
        <f t="shared" si="163"/>
        <v>s</v>
      </c>
      <c r="HB4" s="8" t="str">
        <f t="shared" si="163"/>
        <v>s</v>
      </c>
      <c r="HC4" s="8" t="str">
        <f t="shared" si="163"/>
        <v>d</v>
      </c>
      <c r="HD4" s="8" t="str">
        <f t="shared" si="163"/>
        <v>s</v>
      </c>
      <c r="HE4" s="8" t="str">
        <f t="shared" si="163"/>
        <v>t</v>
      </c>
      <c r="HF4" s="8" t="str">
        <f t="shared" si="163"/>
        <v>q</v>
      </c>
      <c r="HG4" s="8" t="str">
        <f t="shared" si="163"/>
        <v>q</v>
      </c>
      <c r="HH4" s="8" t="str">
        <f t="shared" si="163"/>
        <v>s</v>
      </c>
      <c r="HI4" s="8" t="str">
        <f t="shared" si="163"/>
        <v>s</v>
      </c>
      <c r="HJ4" s="8" t="str">
        <f t="shared" si="163"/>
        <v>d</v>
      </c>
      <c r="HK4" s="8" t="str">
        <f t="shared" si="163"/>
        <v>s</v>
      </c>
      <c r="HL4" s="8" t="str">
        <f t="shared" si="163"/>
        <v>t</v>
      </c>
      <c r="HM4" s="8" t="str">
        <f t="shared" si="163"/>
        <v>q</v>
      </c>
      <c r="HN4" s="8" t="str">
        <f t="shared" si="163"/>
        <v>q</v>
      </c>
      <c r="HO4" s="8" t="str">
        <f t="shared" si="163"/>
        <v>s</v>
      </c>
      <c r="HP4" s="8" t="str">
        <f t="shared" si="163"/>
        <v>s</v>
      </c>
      <c r="HQ4" s="8" t="str">
        <f t="shared" si="163"/>
        <v>d</v>
      </c>
      <c r="HR4" s="8" t="str">
        <f t="shared" si="163"/>
        <v>s</v>
      </c>
      <c r="HS4" s="8" t="str">
        <f t="shared" si="163"/>
        <v>t</v>
      </c>
      <c r="HT4" s="8" t="str">
        <f t="shared" si="163"/>
        <v>q</v>
      </c>
      <c r="HU4" s="8" t="str">
        <f t="shared" si="163"/>
        <v>q</v>
      </c>
      <c r="HV4" s="8" t="str">
        <f t="shared" si="163"/>
        <v>s</v>
      </c>
      <c r="HW4" s="8" t="str">
        <f t="shared" si="163"/>
        <v>s</v>
      </c>
      <c r="HX4" s="8" t="str">
        <f t="shared" si="163"/>
        <v>d</v>
      </c>
      <c r="HY4" s="8" t="str">
        <f t="shared" si="163"/>
        <v>s</v>
      </c>
      <c r="HZ4" s="8" t="str">
        <f t="shared" si="163"/>
        <v>t</v>
      </c>
      <c r="IA4" s="8" t="str">
        <f t="shared" si="163"/>
        <v>q</v>
      </c>
      <c r="IB4" s="8" t="str">
        <f t="shared" si="163"/>
        <v>q</v>
      </c>
      <c r="IC4" s="8" t="str">
        <f t="shared" si="163"/>
        <v>s</v>
      </c>
      <c r="ID4" s="8" t="str">
        <f t="shared" si="163"/>
        <v>s</v>
      </c>
      <c r="IE4" s="8" t="str">
        <f t="shared" si="163"/>
        <v>d</v>
      </c>
      <c r="IF4" s="8" t="str">
        <f t="shared" si="163"/>
        <v>s</v>
      </c>
      <c r="IG4" s="8" t="str">
        <f t="shared" si="163"/>
        <v>t</v>
      </c>
      <c r="IH4" s="8" t="str">
        <f t="shared" ref="IH4:JU4" si="164">LEFT(TEXT(IH3,"ddd"),1)</f>
        <v>q</v>
      </c>
      <c r="II4" s="8" t="str">
        <f t="shared" si="164"/>
        <v>q</v>
      </c>
      <c r="IJ4" s="8" t="str">
        <f t="shared" si="164"/>
        <v>s</v>
      </c>
      <c r="IK4" s="8" t="str">
        <f t="shared" si="164"/>
        <v>s</v>
      </c>
      <c r="IL4" s="8" t="str">
        <f t="shared" si="164"/>
        <v>d</v>
      </c>
      <c r="IM4" s="8" t="str">
        <f t="shared" si="164"/>
        <v>s</v>
      </c>
      <c r="IN4" s="8" t="str">
        <f t="shared" si="164"/>
        <v>t</v>
      </c>
      <c r="IO4" s="8" t="str">
        <f t="shared" si="164"/>
        <v>q</v>
      </c>
      <c r="IP4" s="8" t="str">
        <f t="shared" si="164"/>
        <v>q</v>
      </c>
      <c r="IQ4" s="8" t="str">
        <f t="shared" si="164"/>
        <v>s</v>
      </c>
      <c r="IR4" s="8" t="str">
        <f t="shared" si="164"/>
        <v>s</v>
      </c>
      <c r="IS4" s="8" t="str">
        <f t="shared" si="164"/>
        <v>d</v>
      </c>
      <c r="IT4" s="8" t="str">
        <f t="shared" si="164"/>
        <v>s</v>
      </c>
      <c r="IU4" s="8" t="str">
        <f t="shared" si="164"/>
        <v>t</v>
      </c>
      <c r="IV4" s="8" t="str">
        <f t="shared" si="164"/>
        <v>q</v>
      </c>
      <c r="IW4" s="8" t="str">
        <f t="shared" si="164"/>
        <v>q</v>
      </c>
      <c r="IX4" s="8" t="str">
        <f t="shared" si="164"/>
        <v>s</v>
      </c>
      <c r="IY4" s="8" t="str">
        <f t="shared" si="164"/>
        <v>s</v>
      </c>
      <c r="IZ4" s="8" t="str">
        <f t="shared" si="164"/>
        <v>d</v>
      </c>
      <c r="JA4" s="8" t="str">
        <f t="shared" si="164"/>
        <v>s</v>
      </c>
      <c r="JB4" s="8" t="str">
        <f t="shared" si="164"/>
        <v>t</v>
      </c>
      <c r="JC4" s="8" t="str">
        <f t="shared" si="164"/>
        <v>q</v>
      </c>
      <c r="JD4" s="8" t="str">
        <f t="shared" si="164"/>
        <v>q</v>
      </c>
      <c r="JE4" s="8" t="str">
        <f t="shared" si="164"/>
        <v>s</v>
      </c>
      <c r="JF4" s="8" t="str">
        <f t="shared" si="164"/>
        <v>s</v>
      </c>
      <c r="JG4" s="8" t="str">
        <f t="shared" si="164"/>
        <v>d</v>
      </c>
      <c r="JH4" s="8" t="str">
        <f t="shared" si="164"/>
        <v>s</v>
      </c>
      <c r="JI4" s="8" t="str">
        <f t="shared" si="164"/>
        <v>t</v>
      </c>
      <c r="JJ4" s="8" t="str">
        <f t="shared" si="164"/>
        <v>q</v>
      </c>
      <c r="JK4" s="8" t="str">
        <f t="shared" si="164"/>
        <v>q</v>
      </c>
      <c r="JL4" s="8" t="str">
        <f t="shared" si="164"/>
        <v>s</v>
      </c>
      <c r="JM4" s="8" t="str">
        <f t="shared" si="164"/>
        <v>s</v>
      </c>
      <c r="JN4" s="8" t="str">
        <f t="shared" si="164"/>
        <v>d</v>
      </c>
      <c r="JO4" s="8" t="str">
        <f t="shared" si="164"/>
        <v>s</v>
      </c>
      <c r="JP4" s="8" t="str">
        <f t="shared" si="164"/>
        <v>t</v>
      </c>
      <c r="JQ4" s="8" t="str">
        <f t="shared" si="164"/>
        <v>q</v>
      </c>
      <c r="JR4" s="8" t="str">
        <f t="shared" si="164"/>
        <v>q</v>
      </c>
      <c r="JS4" s="8" t="str">
        <f t="shared" si="164"/>
        <v>s</v>
      </c>
      <c r="JT4" s="8" t="str">
        <f t="shared" si="164"/>
        <v>s</v>
      </c>
      <c r="JU4" s="8" t="str">
        <f t="shared" si="164"/>
        <v>d</v>
      </c>
    </row>
    <row r="5" spans="1:281" s="2" customFormat="1" ht="30" hidden="1" customHeight="1" thickBot="1" x14ac:dyDescent="0.3">
      <c r="A5" s="32" t="s">
        <v>4</v>
      </c>
      <c r="B5" s="11" t="s">
        <v>35</v>
      </c>
      <c r="C5" s="55"/>
      <c r="D5" s="12"/>
      <c r="E5" s="39"/>
      <c r="F5" s="40"/>
      <c r="G5" s="10"/>
      <c r="H5" s="10" t="str">
        <f t="shared" ref="H5:H46" si="165">IF(OR(ISBLANK(Início_da_tarefa),ISBLANK(Término_da_tarefa)),"",Término_da_tarefa-Início_da_tarefa+1)</f>
        <v/>
      </c>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c r="HO5" s="19"/>
      <c r="HP5" s="19"/>
      <c r="HQ5" s="19"/>
      <c r="HR5" s="19"/>
      <c r="HS5" s="19"/>
      <c r="HT5" s="19"/>
      <c r="HU5" s="19"/>
      <c r="HV5" s="19"/>
      <c r="HW5" s="19"/>
      <c r="HX5" s="19"/>
      <c r="HY5" s="19"/>
      <c r="HZ5" s="19"/>
      <c r="IA5" s="19"/>
      <c r="IB5" s="19"/>
      <c r="IC5" s="19"/>
      <c r="ID5" s="19"/>
      <c r="IE5" s="19"/>
      <c r="IF5" s="19"/>
      <c r="IG5" s="19"/>
      <c r="IH5" s="19"/>
      <c r="II5" s="19"/>
      <c r="IJ5" s="19"/>
      <c r="IK5" s="19"/>
      <c r="IL5" s="19"/>
      <c r="IM5" s="19"/>
      <c r="IN5" s="19"/>
      <c r="IO5" s="19"/>
      <c r="IP5" s="19"/>
      <c r="IQ5" s="19"/>
      <c r="IR5" s="19"/>
      <c r="IS5" s="19"/>
      <c r="IT5" s="19"/>
      <c r="IU5" s="19"/>
      <c r="IV5" s="19"/>
      <c r="IW5" s="19"/>
      <c r="IX5" s="19"/>
      <c r="IY5" s="19"/>
      <c r="IZ5" s="19"/>
      <c r="JA5" s="19"/>
      <c r="JB5" s="19"/>
      <c r="JC5" s="19"/>
      <c r="JD5" s="19"/>
      <c r="JE5" s="19"/>
      <c r="JF5" s="19"/>
      <c r="JG5" s="19"/>
      <c r="JH5" s="19"/>
      <c r="JI5" s="19"/>
      <c r="JJ5" s="19"/>
      <c r="JK5" s="19"/>
      <c r="JL5" s="19"/>
      <c r="JM5" s="19"/>
      <c r="JN5" s="19"/>
      <c r="JO5" s="19"/>
      <c r="JP5" s="19"/>
      <c r="JQ5" s="19"/>
      <c r="JR5" s="19"/>
      <c r="JS5" s="19"/>
      <c r="JT5" s="19"/>
      <c r="JU5" s="19"/>
    </row>
    <row r="6" spans="1:281" s="2" customFormat="1" ht="30" hidden="1" customHeight="1" thickBot="1" x14ac:dyDescent="0.3">
      <c r="A6" s="32"/>
      <c r="B6" s="51" t="s">
        <v>53</v>
      </c>
      <c r="C6" s="56" t="s">
        <v>32</v>
      </c>
      <c r="D6" s="13">
        <v>1</v>
      </c>
      <c r="E6" s="41">
        <f>Início_do_projeto</f>
        <v>46073</v>
      </c>
      <c r="F6" s="41">
        <v>46081</v>
      </c>
      <c r="G6" s="10"/>
      <c r="H6" s="10"/>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19"/>
      <c r="GH6" s="19"/>
      <c r="GI6" s="19"/>
      <c r="GJ6" s="19"/>
      <c r="GK6" s="19"/>
      <c r="GL6" s="19"/>
      <c r="GM6" s="19"/>
      <c r="GN6" s="19"/>
      <c r="GO6" s="19"/>
      <c r="GP6" s="19"/>
      <c r="GQ6" s="19"/>
      <c r="GR6" s="19"/>
      <c r="GS6" s="19"/>
      <c r="GT6" s="19"/>
      <c r="GU6" s="19"/>
      <c r="GV6" s="19"/>
      <c r="GW6" s="19"/>
      <c r="GX6" s="19"/>
      <c r="GY6" s="19"/>
      <c r="GZ6" s="19"/>
      <c r="HA6" s="19"/>
      <c r="HB6" s="19"/>
      <c r="HC6" s="19"/>
      <c r="HD6" s="19"/>
      <c r="HE6" s="19"/>
      <c r="HF6" s="19"/>
      <c r="HG6" s="19"/>
      <c r="HH6" s="19"/>
      <c r="HI6" s="19"/>
      <c r="HJ6" s="19"/>
      <c r="HK6" s="19"/>
      <c r="HL6" s="19"/>
      <c r="HM6" s="19"/>
      <c r="HN6" s="19"/>
      <c r="HO6" s="19"/>
      <c r="HP6" s="19"/>
      <c r="HQ6" s="19"/>
      <c r="HR6" s="19"/>
      <c r="HS6" s="19"/>
      <c r="HT6" s="19"/>
      <c r="HU6" s="19"/>
      <c r="HV6" s="19"/>
      <c r="HW6" s="19"/>
      <c r="HX6" s="19"/>
      <c r="HY6" s="19"/>
      <c r="HZ6" s="19"/>
      <c r="IA6" s="19"/>
      <c r="IB6" s="19"/>
      <c r="IC6" s="19"/>
      <c r="ID6" s="19"/>
      <c r="IE6" s="19"/>
      <c r="IF6" s="19"/>
      <c r="IG6" s="19"/>
      <c r="IH6" s="19"/>
      <c r="II6" s="19"/>
      <c r="IJ6" s="19"/>
      <c r="IK6" s="19"/>
      <c r="IL6" s="19"/>
      <c r="IM6" s="19"/>
      <c r="IN6" s="19"/>
      <c r="IO6" s="19"/>
      <c r="IP6" s="19"/>
      <c r="IQ6" s="19"/>
      <c r="IR6" s="19"/>
      <c r="IS6" s="19"/>
      <c r="IT6" s="19"/>
      <c r="IU6" s="19"/>
      <c r="IV6" s="19"/>
      <c r="IW6" s="19"/>
      <c r="IX6" s="19"/>
      <c r="IY6" s="19"/>
      <c r="IZ6" s="19"/>
      <c r="JA6" s="19"/>
      <c r="JB6" s="19"/>
      <c r="JC6" s="19"/>
      <c r="JD6" s="19"/>
      <c r="JE6" s="19"/>
      <c r="JF6" s="19"/>
      <c r="JG6" s="19"/>
      <c r="JH6" s="19"/>
      <c r="JI6" s="19"/>
      <c r="JJ6" s="19"/>
      <c r="JK6" s="19"/>
      <c r="JL6" s="19"/>
      <c r="JM6" s="19"/>
      <c r="JN6" s="19"/>
      <c r="JO6" s="19"/>
      <c r="JP6" s="19"/>
      <c r="JQ6" s="19"/>
      <c r="JR6" s="19"/>
      <c r="JS6" s="19"/>
      <c r="JT6" s="19"/>
      <c r="JU6" s="19"/>
    </row>
    <row r="7" spans="1:281" s="2" customFormat="1" ht="30" hidden="1" customHeight="1" thickBot="1" x14ac:dyDescent="0.3">
      <c r="A7" s="32"/>
      <c r="B7" s="51" t="s">
        <v>54</v>
      </c>
      <c r="C7" s="56" t="s">
        <v>33</v>
      </c>
      <c r="D7" s="13">
        <v>1</v>
      </c>
      <c r="E7" s="41">
        <f>Início_do_projeto</f>
        <v>46073</v>
      </c>
      <c r="F7" s="41">
        <v>46081</v>
      </c>
      <c r="G7" s="10"/>
      <c r="H7" s="10"/>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19"/>
      <c r="GH7" s="19"/>
      <c r="GI7" s="19"/>
      <c r="GJ7" s="19"/>
      <c r="GK7" s="19"/>
      <c r="GL7" s="19"/>
      <c r="GM7" s="19"/>
      <c r="GN7" s="19"/>
      <c r="GO7" s="19"/>
      <c r="GP7" s="19"/>
      <c r="GQ7" s="19"/>
      <c r="GR7" s="19"/>
      <c r="GS7" s="19"/>
      <c r="GT7" s="19"/>
      <c r="GU7" s="19"/>
      <c r="GV7" s="19"/>
      <c r="GW7" s="19"/>
      <c r="GX7" s="19"/>
      <c r="GY7" s="19"/>
      <c r="GZ7" s="19"/>
      <c r="HA7" s="19"/>
      <c r="HB7" s="19"/>
      <c r="HC7" s="19"/>
      <c r="HD7" s="19"/>
      <c r="HE7" s="19"/>
      <c r="HF7" s="19"/>
      <c r="HG7" s="19"/>
      <c r="HH7" s="19"/>
      <c r="HI7" s="19"/>
      <c r="HJ7" s="19"/>
      <c r="HK7" s="19"/>
      <c r="HL7" s="19"/>
      <c r="HM7" s="19"/>
      <c r="HN7" s="19"/>
      <c r="HO7" s="19"/>
      <c r="HP7" s="19"/>
      <c r="HQ7" s="19"/>
      <c r="HR7" s="19"/>
      <c r="HS7" s="19"/>
      <c r="HT7" s="19"/>
      <c r="HU7" s="19"/>
      <c r="HV7" s="19"/>
      <c r="HW7" s="19"/>
      <c r="HX7" s="19"/>
      <c r="HY7" s="19"/>
      <c r="HZ7" s="19"/>
      <c r="IA7" s="19"/>
      <c r="IB7" s="19"/>
      <c r="IC7" s="19"/>
      <c r="ID7" s="19"/>
      <c r="IE7" s="19"/>
      <c r="IF7" s="19"/>
      <c r="IG7" s="19"/>
      <c r="IH7" s="19"/>
      <c r="II7" s="19"/>
      <c r="IJ7" s="19"/>
      <c r="IK7" s="19"/>
      <c r="IL7" s="19"/>
      <c r="IM7" s="19"/>
      <c r="IN7" s="19"/>
      <c r="IO7" s="19"/>
      <c r="IP7" s="19"/>
      <c r="IQ7" s="19"/>
      <c r="IR7" s="19"/>
      <c r="IS7" s="19"/>
      <c r="IT7" s="19"/>
      <c r="IU7" s="19"/>
      <c r="IV7" s="19"/>
      <c r="IW7" s="19"/>
      <c r="IX7" s="19"/>
      <c r="IY7" s="19"/>
      <c r="IZ7" s="19"/>
      <c r="JA7" s="19"/>
      <c r="JB7" s="19"/>
      <c r="JC7" s="19"/>
      <c r="JD7" s="19"/>
      <c r="JE7" s="19"/>
      <c r="JF7" s="19"/>
      <c r="JG7" s="19"/>
      <c r="JH7" s="19"/>
      <c r="JI7" s="19"/>
      <c r="JJ7" s="19"/>
      <c r="JK7" s="19"/>
      <c r="JL7" s="19"/>
      <c r="JM7" s="19"/>
      <c r="JN7" s="19"/>
      <c r="JO7" s="19"/>
      <c r="JP7" s="19"/>
      <c r="JQ7" s="19"/>
      <c r="JR7" s="19"/>
      <c r="JS7" s="19"/>
      <c r="JT7" s="19"/>
      <c r="JU7" s="19"/>
    </row>
    <row r="8" spans="1:281" s="2" customFormat="1" ht="30" hidden="1" customHeight="1" thickBot="1" x14ac:dyDescent="0.3">
      <c r="A8" s="32"/>
      <c r="B8" s="51" t="s">
        <v>55</v>
      </c>
      <c r="C8" s="56" t="s">
        <v>34</v>
      </c>
      <c r="D8" s="13">
        <v>1</v>
      </c>
      <c r="E8" s="41">
        <f>Início_do_projeto</f>
        <v>46073</v>
      </c>
      <c r="F8" s="41">
        <v>46081</v>
      </c>
      <c r="G8" s="10"/>
      <c r="H8" s="10"/>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c r="EE8" s="19"/>
      <c r="EF8" s="19"/>
      <c r="EG8" s="19"/>
      <c r="EH8" s="19"/>
      <c r="EI8" s="19"/>
      <c r="EJ8" s="19"/>
      <c r="EK8" s="19"/>
      <c r="EL8" s="19"/>
      <c r="EM8" s="19"/>
      <c r="EN8" s="19"/>
      <c r="EO8" s="19"/>
      <c r="EP8" s="19"/>
      <c r="EQ8" s="19"/>
      <c r="ER8" s="19"/>
      <c r="ES8" s="19"/>
      <c r="ET8" s="19"/>
      <c r="EU8" s="19"/>
      <c r="EV8" s="19"/>
      <c r="EW8" s="19"/>
      <c r="EX8" s="19"/>
      <c r="EY8" s="19"/>
      <c r="EZ8" s="19"/>
      <c r="FA8" s="19"/>
      <c r="FB8" s="19"/>
      <c r="FC8" s="19"/>
      <c r="FD8" s="19"/>
      <c r="FE8" s="19"/>
      <c r="FF8" s="19"/>
      <c r="FG8" s="19"/>
      <c r="FH8" s="19"/>
      <c r="FI8" s="19"/>
      <c r="FJ8" s="19"/>
      <c r="FK8" s="19"/>
      <c r="FL8" s="19"/>
      <c r="FM8" s="19"/>
      <c r="FN8" s="19"/>
      <c r="FO8" s="19"/>
      <c r="FP8" s="19"/>
      <c r="FQ8" s="19"/>
      <c r="FR8" s="19"/>
      <c r="FS8" s="19"/>
      <c r="FT8" s="19"/>
      <c r="FU8" s="19"/>
      <c r="FV8" s="19"/>
      <c r="FW8" s="19"/>
      <c r="FX8" s="19"/>
      <c r="FY8" s="19"/>
      <c r="FZ8" s="19"/>
      <c r="GA8" s="19"/>
      <c r="GB8" s="19"/>
      <c r="GC8" s="19"/>
      <c r="GD8" s="19"/>
      <c r="GE8" s="19"/>
      <c r="GF8" s="19"/>
      <c r="GG8" s="19"/>
      <c r="GH8" s="19"/>
      <c r="GI8" s="19"/>
      <c r="GJ8" s="19"/>
      <c r="GK8" s="19"/>
      <c r="GL8" s="19"/>
      <c r="GM8" s="19"/>
      <c r="GN8" s="19"/>
      <c r="GO8" s="19"/>
      <c r="GP8" s="19"/>
      <c r="GQ8" s="19"/>
      <c r="GR8" s="19"/>
      <c r="GS8" s="19"/>
      <c r="GT8" s="19"/>
      <c r="GU8" s="19"/>
      <c r="GV8" s="19"/>
      <c r="GW8" s="19"/>
      <c r="GX8" s="19"/>
      <c r="GY8" s="19"/>
      <c r="GZ8" s="19"/>
      <c r="HA8" s="19"/>
      <c r="HB8" s="19"/>
      <c r="HC8" s="19"/>
      <c r="HD8" s="19"/>
      <c r="HE8" s="19"/>
      <c r="HF8" s="19"/>
      <c r="HG8" s="19"/>
      <c r="HH8" s="19"/>
      <c r="HI8" s="19"/>
      <c r="HJ8" s="19"/>
      <c r="HK8" s="19"/>
      <c r="HL8" s="19"/>
      <c r="HM8" s="19"/>
      <c r="HN8" s="19"/>
      <c r="HO8" s="19"/>
      <c r="HP8" s="19"/>
      <c r="HQ8" s="19"/>
      <c r="HR8" s="19"/>
      <c r="HS8" s="19"/>
      <c r="HT8" s="19"/>
      <c r="HU8" s="19"/>
      <c r="HV8" s="19"/>
      <c r="HW8" s="19"/>
      <c r="HX8" s="19"/>
      <c r="HY8" s="19"/>
      <c r="HZ8" s="19"/>
      <c r="IA8" s="19"/>
      <c r="IB8" s="19"/>
      <c r="IC8" s="19"/>
      <c r="ID8" s="19"/>
      <c r="IE8" s="19"/>
      <c r="IF8" s="19"/>
      <c r="IG8" s="19"/>
      <c r="IH8" s="19"/>
      <c r="II8" s="19"/>
      <c r="IJ8" s="19"/>
      <c r="IK8" s="19"/>
      <c r="IL8" s="19"/>
      <c r="IM8" s="19"/>
      <c r="IN8" s="19"/>
      <c r="IO8" s="19"/>
      <c r="IP8" s="19"/>
      <c r="IQ8" s="19"/>
      <c r="IR8" s="19"/>
      <c r="IS8" s="19"/>
      <c r="IT8" s="19"/>
      <c r="IU8" s="19"/>
      <c r="IV8" s="19"/>
      <c r="IW8" s="19"/>
      <c r="IX8" s="19"/>
      <c r="IY8" s="19"/>
      <c r="IZ8" s="19"/>
      <c r="JA8" s="19"/>
      <c r="JB8" s="19"/>
      <c r="JC8" s="19"/>
      <c r="JD8" s="19"/>
      <c r="JE8" s="19"/>
      <c r="JF8" s="19"/>
      <c r="JG8" s="19"/>
      <c r="JH8" s="19"/>
      <c r="JI8" s="19"/>
      <c r="JJ8" s="19"/>
      <c r="JK8" s="19"/>
      <c r="JL8" s="19"/>
      <c r="JM8" s="19"/>
      <c r="JN8" s="19"/>
      <c r="JO8" s="19"/>
      <c r="JP8" s="19"/>
      <c r="JQ8" s="19"/>
      <c r="JR8" s="19"/>
      <c r="JS8" s="19"/>
      <c r="JT8" s="19"/>
      <c r="JU8" s="19"/>
    </row>
    <row r="9" spans="1:281" s="2" customFormat="1" ht="30" hidden="1" customHeight="1" thickBot="1" x14ac:dyDescent="0.3">
      <c r="A9" s="32"/>
      <c r="B9" s="51" t="s">
        <v>37</v>
      </c>
      <c r="C9" s="56" t="s">
        <v>32</v>
      </c>
      <c r="D9" s="13">
        <v>1</v>
      </c>
      <c r="E9" s="41">
        <v>46082</v>
      </c>
      <c r="F9" s="41">
        <v>46110</v>
      </c>
      <c r="G9" s="10"/>
      <c r="H9" s="10"/>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c r="FJ9" s="19"/>
      <c r="FK9" s="19"/>
      <c r="FL9" s="19"/>
      <c r="FM9" s="19"/>
      <c r="FN9" s="19"/>
      <c r="FO9" s="19"/>
      <c r="FP9" s="19"/>
      <c r="FQ9" s="19"/>
      <c r="FR9" s="19"/>
      <c r="FS9" s="19"/>
      <c r="FT9" s="19"/>
      <c r="FU9" s="19"/>
      <c r="FV9" s="19"/>
      <c r="FW9" s="19"/>
      <c r="FX9" s="19"/>
      <c r="FY9" s="19"/>
      <c r="FZ9" s="19"/>
      <c r="GA9" s="19"/>
      <c r="GB9" s="19"/>
      <c r="GC9" s="19"/>
      <c r="GD9" s="19"/>
      <c r="GE9" s="19"/>
      <c r="GF9" s="19"/>
      <c r="GG9" s="19"/>
      <c r="GH9" s="19"/>
      <c r="GI9" s="19"/>
      <c r="GJ9" s="19"/>
      <c r="GK9" s="19"/>
      <c r="GL9" s="19"/>
      <c r="GM9" s="19"/>
      <c r="GN9" s="19"/>
      <c r="GO9" s="19"/>
      <c r="GP9" s="19"/>
      <c r="GQ9" s="19"/>
      <c r="GR9" s="19"/>
      <c r="GS9" s="19"/>
      <c r="GT9" s="19"/>
      <c r="GU9" s="19"/>
      <c r="GV9" s="19"/>
      <c r="GW9" s="19"/>
      <c r="GX9" s="19"/>
      <c r="GY9" s="19"/>
      <c r="GZ9" s="19"/>
      <c r="HA9" s="19"/>
      <c r="HB9" s="19"/>
      <c r="HC9" s="19"/>
      <c r="HD9" s="19"/>
      <c r="HE9" s="19"/>
      <c r="HF9" s="19"/>
      <c r="HG9" s="19"/>
      <c r="HH9" s="19"/>
      <c r="HI9" s="19"/>
      <c r="HJ9" s="19"/>
      <c r="HK9" s="19"/>
      <c r="HL9" s="19"/>
      <c r="HM9" s="19"/>
      <c r="HN9" s="19"/>
      <c r="HO9" s="19"/>
      <c r="HP9" s="19"/>
      <c r="HQ9" s="19"/>
      <c r="HR9" s="19"/>
      <c r="HS9" s="19"/>
      <c r="HT9" s="19"/>
      <c r="HU9" s="19"/>
      <c r="HV9" s="19"/>
      <c r="HW9" s="19"/>
      <c r="HX9" s="19"/>
      <c r="HY9" s="19"/>
      <c r="HZ9" s="19"/>
      <c r="IA9" s="19"/>
      <c r="IB9" s="19"/>
      <c r="IC9" s="19"/>
      <c r="ID9" s="19"/>
      <c r="IE9" s="19"/>
      <c r="IF9" s="19"/>
      <c r="IG9" s="19"/>
      <c r="IH9" s="19"/>
      <c r="II9" s="19"/>
      <c r="IJ9" s="19"/>
      <c r="IK9" s="19"/>
      <c r="IL9" s="19"/>
      <c r="IM9" s="19"/>
      <c r="IN9" s="19"/>
      <c r="IO9" s="19"/>
      <c r="IP9" s="19"/>
      <c r="IQ9" s="19"/>
      <c r="IR9" s="19"/>
      <c r="IS9" s="19"/>
      <c r="IT9" s="19"/>
      <c r="IU9" s="19"/>
      <c r="IV9" s="19"/>
      <c r="IW9" s="19"/>
      <c r="IX9" s="19"/>
      <c r="IY9" s="19"/>
      <c r="IZ9" s="19"/>
      <c r="JA9" s="19"/>
      <c r="JB9" s="19"/>
      <c r="JC9" s="19"/>
      <c r="JD9" s="19"/>
      <c r="JE9" s="19"/>
      <c r="JF9" s="19"/>
      <c r="JG9" s="19"/>
      <c r="JH9" s="19"/>
      <c r="JI9" s="19"/>
      <c r="JJ9" s="19"/>
      <c r="JK9" s="19"/>
      <c r="JL9" s="19"/>
      <c r="JM9" s="19"/>
      <c r="JN9" s="19"/>
      <c r="JO9" s="19"/>
      <c r="JP9" s="19"/>
      <c r="JQ9" s="19"/>
      <c r="JR9" s="19"/>
      <c r="JS9" s="19"/>
      <c r="JT9" s="19"/>
      <c r="JU9" s="19"/>
    </row>
    <row r="10" spans="1:281" s="2" customFormat="1" ht="30" hidden="1" customHeight="1" thickBot="1" x14ac:dyDescent="0.3">
      <c r="A10" s="32"/>
      <c r="B10" s="51" t="s">
        <v>56</v>
      </c>
      <c r="C10" s="56" t="s">
        <v>32</v>
      </c>
      <c r="D10" s="13">
        <v>1</v>
      </c>
      <c r="E10" s="41">
        <v>46082</v>
      </c>
      <c r="F10" s="41">
        <v>46110</v>
      </c>
      <c r="G10" s="10"/>
      <c r="H10" s="10"/>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c r="FJ10" s="19"/>
      <c r="FK10" s="19"/>
      <c r="FL10" s="19"/>
      <c r="FM10" s="19"/>
      <c r="FN10" s="19"/>
      <c r="FO10" s="19"/>
      <c r="FP10" s="19"/>
      <c r="FQ10" s="19"/>
      <c r="FR10" s="19"/>
      <c r="FS10" s="19"/>
      <c r="FT10" s="19"/>
      <c r="FU10" s="19"/>
      <c r="FV10" s="19"/>
      <c r="FW10" s="19"/>
      <c r="FX10" s="19"/>
      <c r="FY10" s="19"/>
      <c r="FZ10" s="19"/>
      <c r="GA10" s="19"/>
      <c r="GB10" s="19"/>
      <c r="GC10" s="19"/>
      <c r="GD10" s="19"/>
      <c r="GE10" s="19"/>
      <c r="GF10" s="19"/>
      <c r="GG10" s="19"/>
      <c r="GH10" s="19"/>
      <c r="GI10" s="19"/>
      <c r="GJ10" s="19"/>
      <c r="GK10" s="19"/>
      <c r="GL10" s="19"/>
      <c r="GM10" s="19"/>
      <c r="GN10" s="19"/>
      <c r="GO10" s="19"/>
      <c r="GP10" s="19"/>
      <c r="GQ10" s="19"/>
      <c r="GR10" s="19"/>
      <c r="GS10" s="19"/>
      <c r="GT10" s="19"/>
      <c r="GU10" s="19"/>
      <c r="GV10" s="19"/>
      <c r="GW10" s="19"/>
      <c r="GX10" s="19"/>
      <c r="GY10" s="19"/>
      <c r="GZ10" s="19"/>
      <c r="HA10" s="19"/>
      <c r="HB10" s="19"/>
      <c r="HC10" s="19"/>
      <c r="HD10" s="19"/>
      <c r="HE10" s="19"/>
      <c r="HF10" s="19"/>
      <c r="HG10" s="19"/>
      <c r="HH10" s="19"/>
      <c r="HI10" s="19"/>
      <c r="HJ10" s="19"/>
      <c r="HK10" s="19"/>
      <c r="HL10" s="19"/>
      <c r="HM10" s="19"/>
      <c r="HN10" s="19"/>
      <c r="HO10" s="19"/>
      <c r="HP10" s="19"/>
      <c r="HQ10" s="19"/>
      <c r="HR10" s="19"/>
      <c r="HS10" s="19"/>
      <c r="HT10" s="19"/>
      <c r="HU10" s="19"/>
      <c r="HV10" s="19"/>
      <c r="HW10" s="19"/>
      <c r="HX10" s="19"/>
      <c r="HY10" s="19"/>
      <c r="HZ10" s="19"/>
      <c r="IA10" s="19"/>
      <c r="IB10" s="19"/>
      <c r="IC10" s="19"/>
      <c r="ID10" s="19"/>
      <c r="IE10" s="19"/>
      <c r="IF10" s="19"/>
      <c r="IG10" s="19"/>
      <c r="IH10" s="19"/>
      <c r="II10" s="19"/>
      <c r="IJ10" s="19"/>
      <c r="IK10" s="19"/>
      <c r="IL10" s="19"/>
      <c r="IM10" s="19"/>
      <c r="IN10" s="19"/>
      <c r="IO10" s="19"/>
      <c r="IP10" s="19"/>
      <c r="IQ10" s="19"/>
      <c r="IR10" s="19"/>
      <c r="IS10" s="19"/>
      <c r="IT10" s="19"/>
      <c r="IU10" s="19"/>
      <c r="IV10" s="19"/>
      <c r="IW10" s="19"/>
      <c r="IX10" s="19"/>
      <c r="IY10" s="19"/>
      <c r="IZ10" s="19"/>
      <c r="JA10" s="19"/>
      <c r="JB10" s="19"/>
      <c r="JC10" s="19"/>
      <c r="JD10" s="19"/>
      <c r="JE10" s="19"/>
      <c r="JF10" s="19"/>
      <c r="JG10" s="19"/>
      <c r="JH10" s="19"/>
      <c r="JI10" s="19"/>
      <c r="JJ10" s="19"/>
      <c r="JK10" s="19"/>
      <c r="JL10" s="19"/>
      <c r="JM10" s="19"/>
      <c r="JN10" s="19"/>
      <c r="JO10" s="19"/>
      <c r="JP10" s="19"/>
      <c r="JQ10" s="19"/>
      <c r="JR10" s="19"/>
      <c r="JS10" s="19"/>
      <c r="JT10" s="19"/>
      <c r="JU10" s="19"/>
    </row>
    <row r="11" spans="1:281" s="2" customFormat="1" ht="30" hidden="1" customHeight="1" thickBot="1" x14ac:dyDescent="0.3">
      <c r="A11" s="32"/>
      <c r="B11" s="51" t="s">
        <v>57</v>
      </c>
      <c r="C11" s="56" t="s">
        <v>32</v>
      </c>
      <c r="D11" s="13">
        <v>1</v>
      </c>
      <c r="E11" s="41">
        <v>46113</v>
      </c>
      <c r="F11" s="41">
        <v>46144</v>
      </c>
      <c r="G11" s="10"/>
      <c r="H11" s="10"/>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c r="ES11" s="19"/>
      <c r="ET11" s="19"/>
      <c r="EU11" s="19"/>
      <c r="EV11" s="19"/>
      <c r="EW11" s="19"/>
      <c r="EX11" s="19"/>
      <c r="EY11" s="19"/>
      <c r="EZ11" s="19"/>
      <c r="FA11" s="19"/>
      <c r="FB11" s="19"/>
      <c r="FC11" s="19"/>
      <c r="FD11" s="19"/>
      <c r="FE11" s="19"/>
      <c r="FF11" s="19"/>
      <c r="FG11" s="19"/>
      <c r="FH11" s="19"/>
      <c r="FI11" s="19"/>
      <c r="FJ11" s="19"/>
      <c r="FK11" s="19"/>
      <c r="FL11" s="19"/>
      <c r="FM11" s="19"/>
      <c r="FN11" s="19"/>
      <c r="FO11" s="19"/>
      <c r="FP11" s="19"/>
      <c r="FQ11" s="19"/>
      <c r="FR11" s="19"/>
      <c r="FS11" s="19"/>
      <c r="FT11" s="19"/>
      <c r="FU11" s="19"/>
      <c r="FV11" s="19"/>
      <c r="FW11" s="19"/>
      <c r="FX11" s="19"/>
      <c r="FY11" s="19"/>
      <c r="FZ11" s="19"/>
      <c r="GA11" s="19"/>
      <c r="GB11" s="19"/>
      <c r="GC11" s="19"/>
      <c r="GD11" s="19"/>
      <c r="GE11" s="19"/>
      <c r="GF11" s="19"/>
      <c r="GG11" s="19"/>
      <c r="GH11" s="19"/>
      <c r="GI11" s="19"/>
      <c r="GJ11" s="19"/>
      <c r="GK11" s="19"/>
      <c r="GL11" s="19"/>
      <c r="GM11" s="19"/>
      <c r="GN11" s="19"/>
      <c r="GO11" s="19"/>
      <c r="GP11" s="19"/>
      <c r="GQ11" s="19"/>
      <c r="GR11" s="19"/>
      <c r="GS11" s="19"/>
      <c r="GT11" s="19"/>
      <c r="GU11" s="19"/>
      <c r="GV11" s="19"/>
      <c r="GW11" s="19"/>
      <c r="GX11" s="19"/>
      <c r="GY11" s="19"/>
      <c r="GZ11" s="19"/>
      <c r="HA11" s="19"/>
      <c r="HB11" s="19"/>
      <c r="HC11" s="19"/>
      <c r="HD11" s="19"/>
      <c r="HE11" s="19"/>
      <c r="HF11" s="19"/>
      <c r="HG11" s="19"/>
      <c r="HH11" s="19"/>
      <c r="HI11" s="19"/>
      <c r="HJ11" s="19"/>
      <c r="HK11" s="19"/>
      <c r="HL11" s="19"/>
      <c r="HM11" s="19"/>
      <c r="HN11" s="19"/>
      <c r="HO11" s="19"/>
      <c r="HP11" s="19"/>
      <c r="HQ11" s="19"/>
      <c r="HR11" s="19"/>
      <c r="HS11" s="19"/>
      <c r="HT11" s="19"/>
      <c r="HU11" s="19"/>
      <c r="HV11" s="19"/>
      <c r="HW11" s="19"/>
      <c r="HX11" s="19"/>
      <c r="HY11" s="19"/>
      <c r="HZ11" s="19"/>
      <c r="IA11" s="19"/>
      <c r="IB11" s="19"/>
      <c r="IC11" s="19"/>
      <c r="ID11" s="19"/>
      <c r="IE11" s="19"/>
      <c r="IF11" s="19"/>
      <c r="IG11" s="19"/>
      <c r="IH11" s="19"/>
      <c r="II11" s="19"/>
      <c r="IJ11" s="19"/>
      <c r="IK11" s="19"/>
      <c r="IL11" s="19"/>
      <c r="IM11" s="19"/>
      <c r="IN11" s="19"/>
      <c r="IO11" s="19"/>
      <c r="IP11" s="19"/>
      <c r="IQ11" s="19"/>
      <c r="IR11" s="19"/>
      <c r="IS11" s="19"/>
      <c r="IT11" s="19"/>
      <c r="IU11" s="19"/>
      <c r="IV11" s="19"/>
      <c r="IW11" s="19"/>
      <c r="IX11" s="19"/>
      <c r="IY11" s="19"/>
      <c r="IZ11" s="19"/>
      <c r="JA11" s="19"/>
      <c r="JB11" s="19"/>
      <c r="JC11" s="19"/>
      <c r="JD11" s="19"/>
      <c r="JE11" s="19"/>
      <c r="JF11" s="19"/>
      <c r="JG11" s="19"/>
      <c r="JH11" s="19"/>
      <c r="JI11" s="19"/>
      <c r="JJ11" s="19"/>
      <c r="JK11" s="19"/>
      <c r="JL11" s="19"/>
      <c r="JM11" s="19"/>
      <c r="JN11" s="19"/>
      <c r="JO11" s="19"/>
      <c r="JP11" s="19"/>
      <c r="JQ11" s="19"/>
      <c r="JR11" s="19"/>
      <c r="JS11" s="19"/>
      <c r="JT11" s="19"/>
      <c r="JU11" s="19"/>
    </row>
    <row r="12" spans="1:281" s="2" customFormat="1" ht="30" hidden="1" customHeight="1" thickBot="1" x14ac:dyDescent="0.3">
      <c r="A12" s="32"/>
      <c r="B12" s="51" t="s">
        <v>58</v>
      </c>
      <c r="C12" s="56" t="s">
        <v>33</v>
      </c>
      <c r="D12" s="13">
        <v>1</v>
      </c>
      <c r="E12" s="41">
        <v>46113</v>
      </c>
      <c r="F12" s="41">
        <v>46144</v>
      </c>
      <c r="G12" s="10"/>
      <c r="H12" s="10"/>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c r="HC12" s="19"/>
      <c r="HD12" s="19"/>
      <c r="HE12" s="19"/>
      <c r="HF12" s="19"/>
      <c r="HG12" s="19"/>
      <c r="HH12" s="19"/>
      <c r="HI12" s="19"/>
      <c r="HJ12" s="19"/>
      <c r="HK12" s="19"/>
      <c r="HL12" s="19"/>
      <c r="HM12" s="19"/>
      <c r="HN12" s="19"/>
      <c r="HO12" s="19"/>
      <c r="HP12" s="19"/>
      <c r="HQ12" s="19"/>
      <c r="HR12" s="19"/>
      <c r="HS12" s="19"/>
      <c r="HT12" s="19"/>
      <c r="HU12" s="19"/>
      <c r="HV12" s="19"/>
      <c r="HW12" s="19"/>
      <c r="HX12" s="19"/>
      <c r="HY12" s="19"/>
      <c r="HZ12" s="19"/>
      <c r="IA12" s="19"/>
      <c r="IB12" s="19"/>
      <c r="IC12" s="19"/>
      <c r="ID12" s="19"/>
      <c r="IE12" s="19"/>
      <c r="IF12" s="19"/>
      <c r="IG12" s="19"/>
      <c r="IH12" s="19"/>
      <c r="II12" s="19"/>
      <c r="IJ12" s="19"/>
      <c r="IK12" s="19"/>
      <c r="IL12" s="19"/>
      <c r="IM12" s="19"/>
      <c r="IN12" s="19"/>
      <c r="IO12" s="19"/>
      <c r="IP12" s="19"/>
      <c r="IQ12" s="19"/>
      <c r="IR12" s="19"/>
      <c r="IS12" s="19"/>
      <c r="IT12" s="19"/>
      <c r="IU12" s="19"/>
      <c r="IV12" s="19"/>
      <c r="IW12" s="19"/>
      <c r="IX12" s="19"/>
      <c r="IY12" s="19"/>
      <c r="IZ12" s="19"/>
      <c r="JA12" s="19"/>
      <c r="JB12" s="19"/>
      <c r="JC12" s="19"/>
      <c r="JD12" s="19"/>
      <c r="JE12" s="19"/>
      <c r="JF12" s="19"/>
      <c r="JG12" s="19"/>
      <c r="JH12" s="19"/>
      <c r="JI12" s="19"/>
      <c r="JJ12" s="19"/>
      <c r="JK12" s="19"/>
      <c r="JL12" s="19"/>
      <c r="JM12" s="19"/>
      <c r="JN12" s="19"/>
      <c r="JO12" s="19"/>
      <c r="JP12" s="19"/>
      <c r="JQ12" s="19"/>
      <c r="JR12" s="19"/>
      <c r="JS12" s="19"/>
      <c r="JT12" s="19"/>
      <c r="JU12" s="19"/>
    </row>
    <row r="13" spans="1:281" s="2" customFormat="1" ht="30" hidden="1" customHeight="1" thickBot="1" x14ac:dyDescent="0.3">
      <c r="A13" s="32"/>
      <c r="B13" s="51" t="s">
        <v>59</v>
      </c>
      <c r="C13" s="56" t="s">
        <v>33</v>
      </c>
      <c r="D13" s="13">
        <v>1</v>
      </c>
      <c r="E13" s="41">
        <v>46113</v>
      </c>
      <c r="F13" s="41">
        <v>46144</v>
      </c>
      <c r="G13" s="10"/>
      <c r="H13" s="10"/>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c r="FJ13" s="19"/>
      <c r="FK13" s="19"/>
      <c r="FL13" s="19"/>
      <c r="FM13" s="19"/>
      <c r="FN13" s="19"/>
      <c r="FO13" s="19"/>
      <c r="FP13" s="19"/>
      <c r="FQ13" s="19"/>
      <c r="FR13" s="19"/>
      <c r="FS13" s="19"/>
      <c r="FT13" s="19"/>
      <c r="FU13" s="19"/>
      <c r="FV13" s="19"/>
      <c r="FW13" s="19"/>
      <c r="FX13" s="19"/>
      <c r="FY13" s="19"/>
      <c r="FZ13" s="19"/>
      <c r="GA13" s="19"/>
      <c r="GB13" s="19"/>
      <c r="GC13" s="19"/>
      <c r="GD13" s="19"/>
      <c r="GE13" s="19"/>
      <c r="GF13" s="19"/>
      <c r="GG13" s="19"/>
      <c r="GH13" s="19"/>
      <c r="GI13" s="19"/>
      <c r="GJ13" s="19"/>
      <c r="GK13" s="19"/>
      <c r="GL13" s="19"/>
      <c r="GM13" s="19"/>
      <c r="GN13" s="19"/>
      <c r="GO13" s="19"/>
      <c r="GP13" s="19"/>
      <c r="GQ13" s="19"/>
      <c r="GR13" s="19"/>
      <c r="GS13" s="19"/>
      <c r="GT13" s="19"/>
      <c r="GU13" s="19"/>
      <c r="GV13" s="19"/>
      <c r="GW13" s="19"/>
      <c r="GX13" s="19"/>
      <c r="GY13" s="19"/>
      <c r="GZ13" s="19"/>
      <c r="HA13" s="19"/>
      <c r="HB13" s="19"/>
      <c r="HC13" s="19"/>
      <c r="HD13" s="19"/>
      <c r="HE13" s="19"/>
      <c r="HF13" s="19"/>
      <c r="HG13" s="19"/>
      <c r="HH13" s="19"/>
      <c r="HI13" s="19"/>
      <c r="HJ13" s="19"/>
      <c r="HK13" s="19"/>
      <c r="HL13" s="19"/>
      <c r="HM13" s="19"/>
      <c r="HN13" s="19"/>
      <c r="HO13" s="19"/>
      <c r="HP13" s="19"/>
      <c r="HQ13" s="19"/>
      <c r="HR13" s="19"/>
      <c r="HS13" s="19"/>
      <c r="HT13" s="19"/>
      <c r="HU13" s="19"/>
      <c r="HV13" s="19"/>
      <c r="HW13" s="19"/>
      <c r="HX13" s="19"/>
      <c r="HY13" s="19"/>
      <c r="HZ13" s="19"/>
      <c r="IA13" s="19"/>
      <c r="IB13" s="19"/>
      <c r="IC13" s="19"/>
      <c r="ID13" s="19"/>
      <c r="IE13" s="19"/>
      <c r="IF13" s="19"/>
      <c r="IG13" s="19"/>
      <c r="IH13" s="19"/>
      <c r="II13" s="19"/>
      <c r="IJ13" s="19"/>
      <c r="IK13" s="19"/>
      <c r="IL13" s="19"/>
      <c r="IM13" s="19"/>
      <c r="IN13" s="19"/>
      <c r="IO13" s="19"/>
      <c r="IP13" s="19"/>
      <c r="IQ13" s="19"/>
      <c r="IR13" s="19"/>
      <c r="IS13" s="19"/>
      <c r="IT13" s="19"/>
      <c r="IU13" s="19"/>
      <c r="IV13" s="19"/>
      <c r="IW13" s="19"/>
      <c r="IX13" s="19"/>
      <c r="IY13" s="19"/>
      <c r="IZ13" s="19"/>
      <c r="JA13" s="19"/>
      <c r="JB13" s="19"/>
      <c r="JC13" s="19"/>
      <c r="JD13" s="19"/>
      <c r="JE13" s="19"/>
      <c r="JF13" s="19"/>
      <c r="JG13" s="19"/>
      <c r="JH13" s="19"/>
      <c r="JI13" s="19"/>
      <c r="JJ13" s="19"/>
      <c r="JK13" s="19"/>
      <c r="JL13" s="19"/>
      <c r="JM13" s="19"/>
      <c r="JN13" s="19"/>
      <c r="JO13" s="19"/>
      <c r="JP13" s="19"/>
      <c r="JQ13" s="19"/>
      <c r="JR13" s="19"/>
      <c r="JS13" s="19"/>
      <c r="JT13" s="19"/>
      <c r="JU13" s="19"/>
    </row>
    <row r="14" spans="1:281" s="2" customFormat="1" ht="30" hidden="1" customHeight="1" thickBot="1" x14ac:dyDescent="0.3">
      <c r="A14" s="32"/>
      <c r="B14" s="51" t="s">
        <v>60</v>
      </c>
      <c r="C14" s="56" t="s">
        <v>32</v>
      </c>
      <c r="D14" s="13">
        <v>1</v>
      </c>
      <c r="E14" s="41">
        <v>46113</v>
      </c>
      <c r="F14" s="41">
        <v>46144</v>
      </c>
      <c r="G14" s="10"/>
      <c r="H14" s="10"/>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9"/>
      <c r="DP14" s="19"/>
      <c r="DQ14" s="19"/>
      <c r="DR14" s="19"/>
      <c r="DS14" s="19"/>
      <c r="DT14" s="19"/>
      <c r="DU14" s="19"/>
      <c r="DV14" s="19"/>
      <c r="DW14" s="19"/>
      <c r="DX14" s="19"/>
      <c r="DY14" s="19"/>
      <c r="DZ14" s="19"/>
      <c r="EA14" s="19"/>
      <c r="EB14" s="19"/>
      <c r="EC14" s="19"/>
      <c r="ED14" s="19"/>
      <c r="EE14" s="19"/>
      <c r="EF14" s="19"/>
      <c r="EG14" s="19"/>
      <c r="EH14" s="19"/>
      <c r="EI14" s="19"/>
      <c r="EJ14" s="19"/>
      <c r="EK14" s="19"/>
      <c r="EL14" s="19"/>
      <c r="EM14" s="19"/>
      <c r="EN14" s="19"/>
      <c r="EO14" s="19"/>
      <c r="EP14" s="19"/>
      <c r="EQ14" s="19"/>
      <c r="ER14" s="19"/>
      <c r="ES14" s="19"/>
      <c r="ET14" s="19"/>
      <c r="EU14" s="19"/>
      <c r="EV14" s="19"/>
      <c r="EW14" s="19"/>
      <c r="EX14" s="19"/>
      <c r="EY14" s="19"/>
      <c r="EZ14" s="19"/>
      <c r="FA14" s="19"/>
      <c r="FB14" s="19"/>
      <c r="FC14" s="19"/>
      <c r="FD14" s="19"/>
      <c r="FE14" s="19"/>
      <c r="FF14" s="19"/>
      <c r="FG14" s="19"/>
      <c r="FH14" s="19"/>
      <c r="FI14" s="19"/>
      <c r="FJ14" s="19"/>
      <c r="FK14" s="19"/>
      <c r="FL14" s="19"/>
      <c r="FM14" s="19"/>
      <c r="FN14" s="19"/>
      <c r="FO14" s="19"/>
      <c r="FP14" s="19"/>
      <c r="FQ14" s="19"/>
      <c r="FR14" s="19"/>
      <c r="FS14" s="19"/>
      <c r="FT14" s="19"/>
      <c r="FU14" s="19"/>
      <c r="FV14" s="19"/>
      <c r="FW14" s="19"/>
      <c r="FX14" s="19"/>
      <c r="FY14" s="19"/>
      <c r="FZ14" s="19"/>
      <c r="GA14" s="19"/>
      <c r="GB14" s="19"/>
      <c r="GC14" s="19"/>
      <c r="GD14" s="19"/>
      <c r="GE14" s="19"/>
      <c r="GF14" s="19"/>
      <c r="GG14" s="19"/>
      <c r="GH14" s="19"/>
      <c r="GI14" s="19"/>
      <c r="GJ14" s="19"/>
      <c r="GK14" s="19"/>
      <c r="GL14" s="19"/>
      <c r="GM14" s="19"/>
      <c r="GN14" s="19"/>
      <c r="GO14" s="19"/>
      <c r="GP14" s="19"/>
      <c r="GQ14" s="19"/>
      <c r="GR14" s="19"/>
      <c r="GS14" s="19"/>
      <c r="GT14" s="19"/>
      <c r="GU14" s="19"/>
      <c r="GV14" s="19"/>
      <c r="GW14" s="19"/>
      <c r="GX14" s="19"/>
      <c r="GY14" s="19"/>
      <c r="GZ14" s="19"/>
      <c r="HA14" s="19"/>
      <c r="HB14" s="19"/>
      <c r="HC14" s="19"/>
      <c r="HD14" s="19"/>
      <c r="HE14" s="19"/>
      <c r="HF14" s="19"/>
      <c r="HG14" s="19"/>
      <c r="HH14" s="19"/>
      <c r="HI14" s="19"/>
      <c r="HJ14" s="19"/>
      <c r="HK14" s="19"/>
      <c r="HL14" s="19"/>
      <c r="HM14" s="19"/>
      <c r="HN14" s="19"/>
      <c r="HO14" s="19"/>
      <c r="HP14" s="19"/>
      <c r="HQ14" s="19"/>
      <c r="HR14" s="19"/>
      <c r="HS14" s="19"/>
      <c r="HT14" s="19"/>
      <c r="HU14" s="19"/>
      <c r="HV14" s="19"/>
      <c r="HW14" s="19"/>
      <c r="HX14" s="19"/>
      <c r="HY14" s="19"/>
      <c r="HZ14" s="19"/>
      <c r="IA14" s="19"/>
      <c r="IB14" s="19"/>
      <c r="IC14" s="19"/>
      <c r="ID14" s="19"/>
      <c r="IE14" s="19"/>
      <c r="IF14" s="19"/>
      <c r="IG14" s="19"/>
      <c r="IH14" s="19"/>
      <c r="II14" s="19"/>
      <c r="IJ14" s="19"/>
      <c r="IK14" s="19"/>
      <c r="IL14" s="19"/>
      <c r="IM14" s="19"/>
      <c r="IN14" s="19"/>
      <c r="IO14" s="19"/>
      <c r="IP14" s="19"/>
      <c r="IQ14" s="19"/>
      <c r="IR14" s="19"/>
      <c r="IS14" s="19"/>
      <c r="IT14" s="19"/>
      <c r="IU14" s="19"/>
      <c r="IV14" s="19"/>
      <c r="IW14" s="19"/>
      <c r="IX14" s="19"/>
      <c r="IY14" s="19"/>
      <c r="IZ14" s="19"/>
      <c r="JA14" s="19"/>
      <c r="JB14" s="19"/>
      <c r="JC14" s="19"/>
      <c r="JD14" s="19"/>
      <c r="JE14" s="19"/>
      <c r="JF14" s="19"/>
      <c r="JG14" s="19"/>
      <c r="JH14" s="19"/>
      <c r="JI14" s="19"/>
      <c r="JJ14" s="19"/>
      <c r="JK14" s="19"/>
      <c r="JL14" s="19"/>
      <c r="JM14" s="19"/>
      <c r="JN14" s="19"/>
      <c r="JO14" s="19"/>
      <c r="JP14" s="19"/>
      <c r="JQ14" s="19"/>
      <c r="JR14" s="19"/>
      <c r="JS14" s="19"/>
      <c r="JT14" s="19"/>
      <c r="JU14" s="19"/>
    </row>
    <row r="15" spans="1:281" s="2" customFormat="1" ht="30" hidden="1" customHeight="1" thickBot="1" x14ac:dyDescent="0.3">
      <c r="A15" s="32"/>
      <c r="B15" s="51" t="s">
        <v>61</v>
      </c>
      <c r="C15" s="56" t="s">
        <v>32</v>
      </c>
      <c r="D15" s="13">
        <v>1</v>
      </c>
      <c r="E15" s="41">
        <v>46113</v>
      </c>
      <c r="F15" s="41">
        <v>46144</v>
      </c>
      <c r="G15" s="10"/>
      <c r="H15" s="10"/>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c r="HC15" s="19"/>
      <c r="HD15" s="19"/>
      <c r="HE15" s="19"/>
      <c r="HF15" s="19"/>
      <c r="HG15" s="19"/>
      <c r="HH15" s="19"/>
      <c r="HI15" s="19"/>
      <c r="HJ15" s="19"/>
      <c r="HK15" s="19"/>
      <c r="HL15" s="19"/>
      <c r="HM15" s="19"/>
      <c r="HN15" s="19"/>
      <c r="HO15" s="19"/>
      <c r="HP15" s="19"/>
      <c r="HQ15" s="19"/>
      <c r="HR15" s="19"/>
      <c r="HS15" s="19"/>
      <c r="HT15" s="19"/>
      <c r="HU15" s="19"/>
      <c r="HV15" s="19"/>
      <c r="HW15" s="19"/>
      <c r="HX15" s="19"/>
      <c r="HY15" s="19"/>
      <c r="HZ15" s="19"/>
      <c r="IA15" s="19"/>
      <c r="IB15" s="19"/>
      <c r="IC15" s="19"/>
      <c r="ID15" s="19"/>
      <c r="IE15" s="19"/>
      <c r="IF15" s="19"/>
      <c r="IG15" s="19"/>
      <c r="IH15" s="19"/>
      <c r="II15" s="19"/>
      <c r="IJ15" s="19"/>
      <c r="IK15" s="19"/>
      <c r="IL15" s="19"/>
      <c r="IM15" s="19"/>
      <c r="IN15" s="19"/>
      <c r="IO15" s="19"/>
      <c r="IP15" s="19"/>
      <c r="IQ15" s="19"/>
      <c r="IR15" s="19"/>
      <c r="IS15" s="19"/>
      <c r="IT15" s="19"/>
      <c r="IU15" s="19"/>
      <c r="IV15" s="19"/>
      <c r="IW15" s="19"/>
      <c r="IX15" s="19"/>
      <c r="IY15" s="19"/>
      <c r="IZ15" s="19"/>
      <c r="JA15" s="19"/>
      <c r="JB15" s="19"/>
      <c r="JC15" s="19"/>
      <c r="JD15" s="19"/>
      <c r="JE15" s="19"/>
      <c r="JF15" s="19"/>
      <c r="JG15" s="19"/>
      <c r="JH15" s="19"/>
      <c r="JI15" s="19"/>
      <c r="JJ15" s="19"/>
      <c r="JK15" s="19"/>
      <c r="JL15" s="19"/>
      <c r="JM15" s="19"/>
      <c r="JN15" s="19"/>
      <c r="JO15" s="19"/>
      <c r="JP15" s="19"/>
      <c r="JQ15" s="19"/>
      <c r="JR15" s="19"/>
      <c r="JS15" s="19"/>
      <c r="JT15" s="19"/>
      <c r="JU15" s="19"/>
    </row>
    <row r="16" spans="1:281" s="2" customFormat="1" ht="30" hidden="1" customHeight="1" thickBot="1" x14ac:dyDescent="0.3">
      <c r="A16" s="32"/>
      <c r="B16" s="51" t="s">
        <v>62</v>
      </c>
      <c r="C16" s="56" t="s">
        <v>34</v>
      </c>
      <c r="D16" s="13">
        <v>1</v>
      </c>
      <c r="E16" s="41">
        <v>46113</v>
      </c>
      <c r="F16" s="41">
        <v>46144</v>
      </c>
      <c r="G16" s="10"/>
      <c r="H16" s="10"/>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c r="HC16" s="19"/>
      <c r="HD16" s="19"/>
      <c r="HE16" s="19"/>
      <c r="HF16" s="19"/>
      <c r="HG16" s="19"/>
      <c r="HH16" s="19"/>
      <c r="HI16" s="19"/>
      <c r="HJ16" s="19"/>
      <c r="HK16" s="19"/>
      <c r="HL16" s="19"/>
      <c r="HM16" s="19"/>
      <c r="HN16" s="19"/>
      <c r="HO16" s="19"/>
      <c r="HP16" s="19"/>
      <c r="HQ16" s="19"/>
      <c r="HR16" s="19"/>
      <c r="HS16" s="19"/>
      <c r="HT16" s="19"/>
      <c r="HU16" s="19"/>
      <c r="HV16" s="19"/>
      <c r="HW16" s="19"/>
      <c r="HX16" s="19"/>
      <c r="HY16" s="19"/>
      <c r="HZ16" s="19"/>
      <c r="IA16" s="19"/>
      <c r="IB16" s="19"/>
      <c r="IC16" s="19"/>
      <c r="ID16" s="19"/>
      <c r="IE16" s="19"/>
      <c r="IF16" s="19"/>
      <c r="IG16" s="19"/>
      <c r="IH16" s="19"/>
      <c r="II16" s="19"/>
      <c r="IJ16" s="19"/>
      <c r="IK16" s="19"/>
      <c r="IL16" s="19"/>
      <c r="IM16" s="19"/>
      <c r="IN16" s="19"/>
      <c r="IO16" s="19"/>
      <c r="IP16" s="19"/>
      <c r="IQ16" s="19"/>
      <c r="IR16" s="19"/>
      <c r="IS16" s="19"/>
      <c r="IT16" s="19"/>
      <c r="IU16" s="19"/>
      <c r="IV16" s="19"/>
      <c r="IW16" s="19"/>
      <c r="IX16" s="19"/>
      <c r="IY16" s="19"/>
      <c r="IZ16" s="19"/>
      <c r="JA16" s="19"/>
      <c r="JB16" s="19"/>
      <c r="JC16" s="19"/>
      <c r="JD16" s="19"/>
      <c r="JE16" s="19"/>
      <c r="JF16" s="19"/>
      <c r="JG16" s="19"/>
      <c r="JH16" s="19"/>
      <c r="JI16" s="19"/>
      <c r="JJ16" s="19"/>
      <c r="JK16" s="19"/>
      <c r="JL16" s="19"/>
      <c r="JM16" s="19"/>
      <c r="JN16" s="19"/>
      <c r="JO16" s="19"/>
      <c r="JP16" s="19"/>
      <c r="JQ16" s="19"/>
      <c r="JR16" s="19"/>
      <c r="JS16" s="19"/>
      <c r="JT16" s="19"/>
      <c r="JU16" s="19"/>
    </row>
    <row r="17" spans="1:281" s="2" customFormat="1" ht="30" hidden="1" customHeight="1" thickBot="1" x14ac:dyDescent="0.3">
      <c r="A17" s="32"/>
      <c r="B17" s="51" t="s">
        <v>63</v>
      </c>
      <c r="C17" s="56" t="s">
        <v>33</v>
      </c>
      <c r="D17" s="13">
        <v>1</v>
      </c>
      <c r="E17" s="41">
        <v>46113</v>
      </c>
      <c r="F17" s="41">
        <v>46144</v>
      </c>
      <c r="G17" s="10"/>
      <c r="H17" s="10"/>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c r="HC17" s="19"/>
      <c r="HD17" s="19"/>
      <c r="HE17" s="19"/>
      <c r="HF17" s="19"/>
      <c r="HG17" s="19"/>
      <c r="HH17" s="19"/>
      <c r="HI17" s="19"/>
      <c r="HJ17" s="19"/>
      <c r="HK17" s="19"/>
      <c r="HL17" s="19"/>
      <c r="HM17" s="19"/>
      <c r="HN17" s="19"/>
      <c r="HO17" s="19"/>
      <c r="HP17" s="19"/>
      <c r="HQ17" s="19"/>
      <c r="HR17" s="19"/>
      <c r="HS17" s="19"/>
      <c r="HT17" s="19"/>
      <c r="HU17" s="19"/>
      <c r="HV17" s="19"/>
      <c r="HW17" s="19"/>
      <c r="HX17" s="19"/>
      <c r="HY17" s="19"/>
      <c r="HZ17" s="19"/>
      <c r="IA17" s="19"/>
      <c r="IB17" s="19"/>
      <c r="IC17" s="19"/>
      <c r="ID17" s="19"/>
      <c r="IE17" s="19"/>
      <c r="IF17" s="19"/>
      <c r="IG17" s="19"/>
      <c r="IH17" s="19"/>
      <c r="II17" s="19"/>
      <c r="IJ17" s="19"/>
      <c r="IK17" s="19"/>
      <c r="IL17" s="19"/>
      <c r="IM17" s="19"/>
      <c r="IN17" s="19"/>
      <c r="IO17" s="19"/>
      <c r="IP17" s="19"/>
      <c r="IQ17" s="19"/>
      <c r="IR17" s="19"/>
      <c r="IS17" s="19"/>
      <c r="IT17" s="19"/>
      <c r="IU17" s="19"/>
      <c r="IV17" s="19"/>
      <c r="IW17" s="19"/>
      <c r="IX17" s="19"/>
      <c r="IY17" s="19"/>
      <c r="IZ17" s="19"/>
      <c r="JA17" s="19"/>
      <c r="JB17" s="19"/>
      <c r="JC17" s="19"/>
      <c r="JD17" s="19"/>
      <c r="JE17" s="19"/>
      <c r="JF17" s="19"/>
      <c r="JG17" s="19"/>
      <c r="JH17" s="19"/>
      <c r="JI17" s="19"/>
      <c r="JJ17" s="19"/>
      <c r="JK17" s="19"/>
      <c r="JL17" s="19"/>
      <c r="JM17" s="19"/>
      <c r="JN17" s="19"/>
      <c r="JO17" s="19"/>
      <c r="JP17" s="19"/>
      <c r="JQ17" s="19"/>
      <c r="JR17" s="19"/>
      <c r="JS17" s="19"/>
      <c r="JT17" s="19"/>
      <c r="JU17" s="19"/>
    </row>
    <row r="18" spans="1:281" s="2" customFormat="1" ht="30" hidden="1" customHeight="1" thickBot="1" x14ac:dyDescent="0.3">
      <c r="A18" s="32"/>
      <c r="B18" s="51" t="s">
        <v>64</v>
      </c>
      <c r="C18" s="56" t="s">
        <v>34</v>
      </c>
      <c r="D18" s="13">
        <v>1</v>
      </c>
      <c r="E18" s="41">
        <v>46113</v>
      </c>
      <c r="F18" s="41">
        <v>46144</v>
      </c>
      <c r="G18" s="10"/>
      <c r="H18" s="10"/>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c r="HC18" s="19"/>
      <c r="HD18" s="19"/>
      <c r="HE18" s="19"/>
      <c r="HF18" s="19"/>
      <c r="HG18" s="19"/>
      <c r="HH18" s="19"/>
      <c r="HI18" s="19"/>
      <c r="HJ18" s="19"/>
      <c r="HK18" s="19"/>
      <c r="HL18" s="19"/>
      <c r="HM18" s="19"/>
      <c r="HN18" s="19"/>
      <c r="HO18" s="19"/>
      <c r="HP18" s="19"/>
      <c r="HQ18" s="19"/>
      <c r="HR18" s="19"/>
      <c r="HS18" s="19"/>
      <c r="HT18" s="19"/>
      <c r="HU18" s="19"/>
      <c r="HV18" s="19"/>
      <c r="HW18" s="19"/>
      <c r="HX18" s="19"/>
      <c r="HY18" s="19"/>
      <c r="HZ18" s="19"/>
      <c r="IA18" s="19"/>
      <c r="IB18" s="19"/>
      <c r="IC18" s="19"/>
      <c r="ID18" s="19"/>
      <c r="IE18" s="19"/>
      <c r="IF18" s="19"/>
      <c r="IG18" s="19"/>
      <c r="IH18" s="19"/>
      <c r="II18" s="19"/>
      <c r="IJ18" s="19"/>
      <c r="IK18" s="19"/>
      <c r="IL18" s="19"/>
      <c r="IM18" s="19"/>
      <c r="IN18" s="19"/>
      <c r="IO18" s="19"/>
      <c r="IP18" s="19"/>
      <c r="IQ18" s="19"/>
      <c r="IR18" s="19"/>
      <c r="IS18" s="19"/>
      <c r="IT18" s="19"/>
      <c r="IU18" s="19"/>
      <c r="IV18" s="19"/>
      <c r="IW18" s="19"/>
      <c r="IX18" s="19"/>
      <c r="IY18" s="19"/>
      <c r="IZ18" s="19"/>
      <c r="JA18" s="19"/>
      <c r="JB18" s="19"/>
      <c r="JC18" s="19"/>
      <c r="JD18" s="19"/>
      <c r="JE18" s="19"/>
      <c r="JF18" s="19"/>
      <c r="JG18" s="19"/>
      <c r="JH18" s="19"/>
      <c r="JI18" s="19"/>
      <c r="JJ18" s="19"/>
      <c r="JK18" s="19"/>
      <c r="JL18" s="19"/>
      <c r="JM18" s="19"/>
      <c r="JN18" s="19"/>
      <c r="JO18" s="19"/>
      <c r="JP18" s="19"/>
      <c r="JQ18" s="19"/>
      <c r="JR18" s="19"/>
      <c r="JS18" s="19"/>
      <c r="JT18" s="19"/>
      <c r="JU18" s="19"/>
    </row>
    <row r="19" spans="1:281" s="2" customFormat="1" ht="30" hidden="1" customHeight="1" thickBot="1" x14ac:dyDescent="0.3">
      <c r="A19" s="32"/>
      <c r="B19" s="51" t="s">
        <v>65</v>
      </c>
      <c r="C19" s="56" t="s">
        <v>34</v>
      </c>
      <c r="D19" s="13">
        <v>1</v>
      </c>
      <c r="E19" s="41">
        <v>46113</v>
      </c>
      <c r="F19" s="41">
        <v>46144</v>
      </c>
      <c r="G19" s="10"/>
      <c r="H19" s="10"/>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19"/>
      <c r="HM19" s="19"/>
      <c r="HN19" s="19"/>
      <c r="HO19" s="19"/>
      <c r="HP19" s="19"/>
      <c r="HQ19" s="19"/>
      <c r="HR19" s="19"/>
      <c r="HS19" s="19"/>
      <c r="HT19" s="19"/>
      <c r="HU19" s="19"/>
      <c r="HV19" s="19"/>
      <c r="HW19" s="19"/>
      <c r="HX19" s="19"/>
      <c r="HY19" s="19"/>
      <c r="HZ19" s="19"/>
      <c r="IA19" s="19"/>
      <c r="IB19" s="19"/>
      <c r="IC19" s="19"/>
      <c r="ID19" s="19"/>
      <c r="IE19" s="19"/>
      <c r="IF19" s="19"/>
      <c r="IG19" s="19"/>
      <c r="IH19" s="19"/>
      <c r="II19" s="19"/>
      <c r="IJ19" s="19"/>
      <c r="IK19" s="19"/>
      <c r="IL19" s="19"/>
      <c r="IM19" s="19"/>
      <c r="IN19" s="19"/>
      <c r="IO19" s="19"/>
      <c r="IP19" s="19"/>
      <c r="IQ19" s="19"/>
      <c r="IR19" s="19"/>
      <c r="IS19" s="19"/>
      <c r="IT19" s="19"/>
      <c r="IU19" s="19"/>
      <c r="IV19" s="19"/>
      <c r="IW19" s="19"/>
      <c r="IX19" s="19"/>
      <c r="IY19" s="19"/>
      <c r="IZ19" s="19"/>
      <c r="JA19" s="19"/>
      <c r="JB19" s="19"/>
      <c r="JC19" s="19"/>
      <c r="JD19" s="19"/>
      <c r="JE19" s="19"/>
      <c r="JF19" s="19"/>
      <c r="JG19" s="19"/>
      <c r="JH19" s="19"/>
      <c r="JI19" s="19"/>
      <c r="JJ19" s="19"/>
      <c r="JK19" s="19"/>
      <c r="JL19" s="19"/>
      <c r="JM19" s="19"/>
      <c r="JN19" s="19"/>
      <c r="JO19" s="19"/>
      <c r="JP19" s="19"/>
      <c r="JQ19" s="19"/>
      <c r="JR19" s="19"/>
      <c r="JS19" s="19"/>
      <c r="JT19" s="19"/>
      <c r="JU19" s="19"/>
    </row>
    <row r="20" spans="1:281" s="2" customFormat="1" ht="30" hidden="1" customHeight="1" thickBot="1" x14ac:dyDescent="0.3">
      <c r="A20" s="32"/>
      <c r="B20" s="51" t="s">
        <v>66</v>
      </c>
      <c r="C20" s="56" t="s">
        <v>33</v>
      </c>
      <c r="D20" s="13">
        <v>1</v>
      </c>
      <c r="E20" s="41">
        <v>46113</v>
      </c>
      <c r="F20" s="41">
        <v>46144</v>
      </c>
      <c r="G20" s="10"/>
      <c r="H20" s="10"/>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c r="HE20" s="19"/>
      <c r="HF20" s="19"/>
      <c r="HG20" s="19"/>
      <c r="HH20" s="19"/>
      <c r="HI20" s="19"/>
      <c r="HJ20" s="19"/>
      <c r="HK20" s="19"/>
      <c r="HL20" s="19"/>
      <c r="HM20" s="19"/>
      <c r="HN20" s="19"/>
      <c r="HO20" s="19"/>
      <c r="HP20" s="19"/>
      <c r="HQ20" s="19"/>
      <c r="HR20" s="19"/>
      <c r="HS20" s="19"/>
      <c r="HT20" s="19"/>
      <c r="HU20" s="19"/>
      <c r="HV20" s="19"/>
      <c r="HW20" s="19"/>
      <c r="HX20" s="19"/>
      <c r="HY20" s="19"/>
      <c r="HZ20" s="19"/>
      <c r="IA20" s="19"/>
      <c r="IB20" s="19"/>
      <c r="IC20" s="19"/>
      <c r="ID20" s="19"/>
      <c r="IE20" s="19"/>
      <c r="IF20" s="19"/>
      <c r="IG20" s="19"/>
      <c r="IH20" s="19"/>
      <c r="II20" s="19"/>
      <c r="IJ20" s="19"/>
      <c r="IK20" s="19"/>
      <c r="IL20" s="19"/>
      <c r="IM20" s="19"/>
      <c r="IN20" s="19"/>
      <c r="IO20" s="19"/>
      <c r="IP20" s="19"/>
      <c r="IQ20" s="19"/>
      <c r="IR20" s="19"/>
      <c r="IS20" s="19"/>
      <c r="IT20" s="19"/>
      <c r="IU20" s="19"/>
      <c r="IV20" s="19"/>
      <c r="IW20" s="19"/>
      <c r="IX20" s="19"/>
      <c r="IY20" s="19"/>
      <c r="IZ20" s="19"/>
      <c r="JA20" s="19"/>
      <c r="JB20" s="19"/>
      <c r="JC20" s="19"/>
      <c r="JD20" s="19"/>
      <c r="JE20" s="19"/>
      <c r="JF20" s="19"/>
      <c r="JG20" s="19"/>
      <c r="JH20" s="19"/>
      <c r="JI20" s="19"/>
      <c r="JJ20" s="19"/>
      <c r="JK20" s="19"/>
      <c r="JL20" s="19"/>
      <c r="JM20" s="19"/>
      <c r="JN20" s="19"/>
      <c r="JO20" s="19"/>
      <c r="JP20" s="19"/>
      <c r="JQ20" s="19"/>
      <c r="JR20" s="19"/>
      <c r="JS20" s="19"/>
      <c r="JT20" s="19"/>
      <c r="JU20" s="19"/>
    </row>
    <row r="21" spans="1:281" s="2" customFormat="1" ht="30" hidden="1" customHeight="1" thickBot="1" x14ac:dyDescent="0.3">
      <c r="A21" s="32"/>
      <c r="B21" s="51" t="s">
        <v>67</v>
      </c>
      <c r="C21" s="56" t="s">
        <v>33</v>
      </c>
      <c r="D21" s="13">
        <v>1</v>
      </c>
      <c r="E21" s="41">
        <v>46113</v>
      </c>
      <c r="F21" s="41">
        <v>46144</v>
      </c>
      <c r="G21" s="10"/>
      <c r="H21" s="10"/>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c r="IX21" s="19"/>
      <c r="IY21" s="19"/>
      <c r="IZ21" s="19"/>
      <c r="JA21" s="19"/>
      <c r="JB21" s="19"/>
      <c r="JC21" s="19"/>
      <c r="JD21" s="19"/>
      <c r="JE21" s="19"/>
      <c r="JF21" s="19"/>
      <c r="JG21" s="19"/>
      <c r="JH21" s="19"/>
      <c r="JI21" s="19"/>
      <c r="JJ21" s="19"/>
      <c r="JK21" s="19"/>
      <c r="JL21" s="19"/>
      <c r="JM21" s="19"/>
      <c r="JN21" s="19"/>
      <c r="JO21" s="19"/>
      <c r="JP21" s="19"/>
      <c r="JQ21" s="19"/>
      <c r="JR21" s="19"/>
      <c r="JS21" s="19"/>
      <c r="JT21" s="19"/>
      <c r="JU21" s="19"/>
    </row>
    <row r="22" spans="1:281" s="2" customFormat="1" ht="30" hidden="1" customHeight="1" thickBot="1" x14ac:dyDescent="0.3">
      <c r="A22" s="32"/>
      <c r="B22" s="51" t="s">
        <v>68</v>
      </c>
      <c r="C22" s="56" t="s">
        <v>33</v>
      </c>
      <c r="D22" s="13">
        <v>1</v>
      </c>
      <c r="E22" s="41">
        <v>46113</v>
      </c>
      <c r="F22" s="41">
        <v>46144</v>
      </c>
      <c r="G22" s="10"/>
      <c r="H22" s="10"/>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c r="IG22" s="19"/>
      <c r="IH22" s="19"/>
      <c r="II22" s="19"/>
      <c r="IJ22" s="19"/>
      <c r="IK22" s="19"/>
      <c r="IL22" s="19"/>
      <c r="IM22" s="19"/>
      <c r="IN22" s="19"/>
      <c r="IO22" s="19"/>
      <c r="IP22" s="19"/>
      <c r="IQ22" s="19"/>
      <c r="IR22" s="19"/>
      <c r="IS22" s="19"/>
      <c r="IT22" s="19"/>
      <c r="IU22" s="19"/>
      <c r="IV22" s="19"/>
      <c r="IW22" s="19"/>
      <c r="IX22" s="19"/>
      <c r="IY22" s="19"/>
      <c r="IZ22" s="19"/>
      <c r="JA22" s="19"/>
      <c r="JB22" s="19"/>
      <c r="JC22" s="19"/>
      <c r="JD22" s="19"/>
      <c r="JE22" s="19"/>
      <c r="JF22" s="19"/>
      <c r="JG22" s="19"/>
      <c r="JH22" s="19"/>
      <c r="JI22" s="19"/>
      <c r="JJ22" s="19"/>
      <c r="JK22" s="19"/>
      <c r="JL22" s="19"/>
      <c r="JM22" s="19"/>
      <c r="JN22" s="19"/>
      <c r="JO22" s="19"/>
      <c r="JP22" s="19"/>
      <c r="JQ22" s="19"/>
      <c r="JR22" s="19"/>
      <c r="JS22" s="19"/>
      <c r="JT22" s="19"/>
      <c r="JU22" s="19"/>
    </row>
    <row r="23" spans="1:281" s="2" customFormat="1" ht="30" hidden="1" customHeight="1" thickBot="1" x14ac:dyDescent="0.3">
      <c r="A23" s="32"/>
      <c r="B23" s="51" t="s">
        <v>69</v>
      </c>
      <c r="C23" s="56" t="s">
        <v>33</v>
      </c>
      <c r="D23" s="13">
        <v>1</v>
      </c>
      <c r="E23" s="41">
        <v>46113</v>
      </c>
      <c r="F23" s="41">
        <v>46144</v>
      </c>
      <c r="G23" s="10"/>
      <c r="H23" s="10"/>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row>
    <row r="24" spans="1:281" s="2" customFormat="1" ht="30" hidden="1" customHeight="1" thickBot="1" x14ac:dyDescent="0.3">
      <c r="A24" s="32"/>
      <c r="B24" s="51" t="s">
        <v>70</v>
      </c>
      <c r="C24" s="56" t="s">
        <v>33</v>
      </c>
      <c r="D24" s="13">
        <v>1</v>
      </c>
      <c r="E24" s="41">
        <v>46113</v>
      </c>
      <c r="F24" s="41">
        <v>46144</v>
      </c>
      <c r="G24" s="10"/>
      <c r="H24" s="10"/>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row>
    <row r="25" spans="1:281" s="2" customFormat="1" ht="30" hidden="1" customHeight="1" thickBot="1" x14ac:dyDescent="0.3">
      <c r="A25" s="32"/>
      <c r="B25" s="51" t="s">
        <v>71</v>
      </c>
      <c r="C25" s="56" t="s">
        <v>34</v>
      </c>
      <c r="D25" s="13">
        <v>0</v>
      </c>
      <c r="E25" s="41">
        <v>46143</v>
      </c>
      <c r="F25" s="41">
        <v>46150</v>
      </c>
      <c r="G25" s="10"/>
      <c r="H25" s="10"/>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row>
    <row r="26" spans="1:281" s="2" customFormat="1" ht="30" hidden="1" customHeight="1" thickBot="1" x14ac:dyDescent="0.3">
      <c r="A26" s="32"/>
      <c r="B26" s="51" t="s">
        <v>72</v>
      </c>
      <c r="C26" s="56" t="s">
        <v>36</v>
      </c>
      <c r="D26" s="13">
        <v>0</v>
      </c>
      <c r="E26" s="41">
        <v>46143</v>
      </c>
      <c r="F26" s="41">
        <v>46150</v>
      </c>
      <c r="G26" s="10"/>
      <c r="H26" s="10"/>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row>
    <row r="27" spans="1:281" s="2" customFormat="1" ht="30" hidden="1" customHeight="1" thickBot="1" x14ac:dyDescent="0.3">
      <c r="A27" s="32"/>
      <c r="B27" s="51" t="s">
        <v>73</v>
      </c>
      <c r="C27" s="56" t="s">
        <v>36</v>
      </c>
      <c r="D27" s="13">
        <v>0</v>
      </c>
      <c r="E27" s="41">
        <v>46143</v>
      </c>
      <c r="F27" s="41">
        <v>46150</v>
      </c>
      <c r="G27" s="10"/>
      <c r="H27" s="10"/>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row>
    <row r="28" spans="1:281" s="2" customFormat="1" ht="30" hidden="1" customHeight="1" thickBot="1" x14ac:dyDescent="0.3">
      <c r="A28" s="32"/>
      <c r="B28" s="51" t="s">
        <v>74</v>
      </c>
      <c r="C28" s="56" t="s">
        <v>34</v>
      </c>
      <c r="D28" s="13">
        <v>0</v>
      </c>
      <c r="E28" s="41">
        <v>46143</v>
      </c>
      <c r="F28" s="41">
        <v>46150</v>
      </c>
      <c r="G28" s="10"/>
      <c r="H28" s="10"/>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row>
    <row r="29" spans="1:281" s="2" customFormat="1" ht="30" hidden="1" customHeight="1" thickBot="1" x14ac:dyDescent="0.3">
      <c r="A29" s="32"/>
      <c r="B29" s="51" t="s">
        <v>75</v>
      </c>
      <c r="C29" s="56" t="s">
        <v>34</v>
      </c>
      <c r="D29" s="13">
        <v>0</v>
      </c>
      <c r="E29" s="41">
        <v>46143</v>
      </c>
      <c r="F29" s="41">
        <v>46150</v>
      </c>
      <c r="G29" s="10"/>
      <c r="H29" s="10"/>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row>
    <row r="30" spans="1:281" s="2" customFormat="1" ht="30" customHeight="1" thickBot="1" x14ac:dyDescent="0.3">
      <c r="A30" s="32" t="s">
        <v>5</v>
      </c>
      <c r="B30" s="52" t="s">
        <v>38</v>
      </c>
      <c r="C30" s="57"/>
      <c r="D30" s="14"/>
      <c r="E30" s="42"/>
      <c r="F30" s="43"/>
      <c r="G30" s="10"/>
      <c r="H30" s="10" t="str">
        <f t="shared" si="165"/>
        <v/>
      </c>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row>
    <row r="31" spans="1:281" s="2" customFormat="1" ht="30" customHeight="1" thickBot="1" x14ac:dyDescent="0.3">
      <c r="A31" s="32"/>
      <c r="B31" s="53" t="s">
        <v>39</v>
      </c>
      <c r="C31" s="58" t="s">
        <v>34</v>
      </c>
      <c r="D31" s="15">
        <v>0</v>
      </c>
      <c r="E31" s="44">
        <v>46235</v>
      </c>
      <c r="F31" s="44">
        <v>46249</v>
      </c>
      <c r="G31" s="10"/>
      <c r="H31" s="10">
        <f t="shared" si="165"/>
        <v>15</v>
      </c>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row>
    <row r="32" spans="1:281" s="2" customFormat="1" ht="30" customHeight="1" thickBot="1" x14ac:dyDescent="0.3">
      <c r="A32" s="32"/>
      <c r="B32" s="53" t="s">
        <v>40</v>
      </c>
      <c r="C32" s="58" t="s">
        <v>32</v>
      </c>
      <c r="D32" s="15">
        <v>0</v>
      </c>
      <c r="E32" s="44">
        <v>46235</v>
      </c>
      <c r="F32" s="44">
        <v>46249</v>
      </c>
      <c r="G32" s="10"/>
      <c r="H32" s="10"/>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row>
    <row r="33" spans="1:281" s="2" customFormat="1" ht="30" customHeight="1" thickBot="1" x14ac:dyDescent="0.3">
      <c r="A33" s="32"/>
      <c r="B33" s="53" t="s">
        <v>41</v>
      </c>
      <c r="C33" s="58" t="s">
        <v>33</v>
      </c>
      <c r="D33" s="15">
        <v>0</v>
      </c>
      <c r="E33" s="44">
        <v>46235</v>
      </c>
      <c r="F33" s="44">
        <v>46244</v>
      </c>
      <c r="G33" s="10"/>
      <c r="H33" s="10"/>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row>
    <row r="34" spans="1:281" s="2" customFormat="1" ht="30" customHeight="1" thickBot="1" x14ac:dyDescent="0.3">
      <c r="A34" s="32"/>
      <c r="B34" s="53" t="s">
        <v>42</v>
      </c>
      <c r="C34" s="58" t="s">
        <v>33</v>
      </c>
      <c r="D34" s="15">
        <v>0</v>
      </c>
      <c r="E34" s="44">
        <v>46249</v>
      </c>
      <c r="F34" s="44">
        <v>46270</v>
      </c>
      <c r="G34" s="10"/>
      <c r="H34" s="10"/>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row>
    <row r="35" spans="1:281" s="2" customFormat="1" ht="30" customHeight="1" thickBot="1" x14ac:dyDescent="0.3">
      <c r="A35" s="32"/>
      <c r="B35" s="53" t="s">
        <v>43</v>
      </c>
      <c r="C35" s="58" t="s">
        <v>34</v>
      </c>
      <c r="D35" s="15">
        <v>0</v>
      </c>
      <c r="E35" s="44">
        <v>46249</v>
      </c>
      <c r="F35" s="44">
        <v>46270</v>
      </c>
      <c r="G35" s="10"/>
      <c r="H35" s="10"/>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row>
    <row r="36" spans="1:281" s="2" customFormat="1" ht="30" customHeight="1" thickBot="1" x14ac:dyDescent="0.3">
      <c r="A36" s="32"/>
      <c r="B36" s="53" t="s">
        <v>44</v>
      </c>
      <c r="C36" s="58" t="s">
        <v>32</v>
      </c>
      <c r="D36" s="15">
        <v>0</v>
      </c>
      <c r="E36" s="44">
        <v>46249</v>
      </c>
      <c r="F36" s="44">
        <v>46270</v>
      </c>
      <c r="G36" s="10"/>
      <c r="H36" s="10"/>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c r="JS36" s="19"/>
      <c r="JT36" s="19"/>
      <c r="JU36" s="19"/>
    </row>
    <row r="37" spans="1:281" s="2" customFormat="1" ht="30" customHeight="1" thickBot="1" x14ac:dyDescent="0.3">
      <c r="A37" s="32"/>
      <c r="B37" s="53" t="s">
        <v>51</v>
      </c>
      <c r="C37" s="58" t="s">
        <v>33</v>
      </c>
      <c r="D37" s="15">
        <v>0</v>
      </c>
      <c r="E37" s="44">
        <v>46254</v>
      </c>
      <c r="F37" s="44">
        <v>46255</v>
      </c>
      <c r="G37" s="10"/>
      <c r="H37" s="10"/>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c r="IG37" s="19"/>
      <c r="IH37" s="19"/>
      <c r="II37" s="19"/>
      <c r="IJ37" s="19"/>
      <c r="IK37" s="19"/>
      <c r="IL37" s="19"/>
      <c r="IM37" s="19"/>
      <c r="IN37" s="19"/>
      <c r="IO37" s="19"/>
      <c r="IP37" s="19"/>
      <c r="IQ37" s="19"/>
      <c r="IR37" s="19"/>
      <c r="IS37" s="19"/>
      <c r="IT37" s="19"/>
      <c r="IU37" s="19"/>
      <c r="IV37" s="19"/>
      <c r="IW37" s="19"/>
      <c r="IX37" s="19"/>
      <c r="IY37" s="19"/>
      <c r="IZ37" s="19"/>
      <c r="JA37" s="19"/>
      <c r="JB37" s="19"/>
      <c r="JC37" s="19"/>
      <c r="JD37" s="19"/>
      <c r="JE37" s="19"/>
      <c r="JF37" s="19"/>
      <c r="JG37" s="19"/>
      <c r="JH37" s="19"/>
      <c r="JI37" s="19"/>
      <c r="JJ37" s="19"/>
      <c r="JK37" s="19"/>
      <c r="JL37" s="19"/>
      <c r="JM37" s="19"/>
      <c r="JN37" s="19"/>
      <c r="JO37" s="19"/>
      <c r="JP37" s="19"/>
      <c r="JQ37" s="19"/>
      <c r="JR37" s="19"/>
      <c r="JS37" s="19"/>
      <c r="JT37" s="19"/>
      <c r="JU37" s="19"/>
    </row>
    <row r="38" spans="1:281" s="2" customFormat="1" ht="30" customHeight="1" thickBot="1" x14ac:dyDescent="0.3">
      <c r="A38" s="32"/>
      <c r="B38" s="53" t="s">
        <v>45</v>
      </c>
      <c r="C38" s="58" t="s">
        <v>34</v>
      </c>
      <c r="D38" s="15">
        <v>0</v>
      </c>
      <c r="E38" s="44">
        <v>46266</v>
      </c>
      <c r="F38" s="44">
        <v>46295</v>
      </c>
      <c r="G38" s="10"/>
      <c r="H38" s="10"/>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c r="HC38" s="19"/>
      <c r="HD38" s="19"/>
      <c r="HE38" s="19"/>
      <c r="HF38" s="19"/>
      <c r="HG38" s="19"/>
      <c r="HH38" s="19"/>
      <c r="HI38" s="19"/>
      <c r="HJ38" s="19"/>
      <c r="HK38" s="19"/>
      <c r="HL38" s="19"/>
      <c r="HM38" s="19"/>
      <c r="HN38" s="19"/>
      <c r="HO38" s="19"/>
      <c r="HP38" s="19"/>
      <c r="HQ38" s="19"/>
      <c r="HR38" s="19"/>
      <c r="HS38" s="19"/>
      <c r="HT38" s="19"/>
      <c r="HU38" s="19"/>
      <c r="HV38" s="19"/>
      <c r="HW38" s="19"/>
      <c r="HX38" s="19"/>
      <c r="HY38" s="19"/>
      <c r="HZ38" s="19"/>
      <c r="IA38" s="19"/>
      <c r="IB38" s="19"/>
      <c r="IC38" s="19"/>
      <c r="ID38" s="19"/>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c r="JJ38" s="19"/>
      <c r="JK38" s="19"/>
      <c r="JL38" s="19"/>
      <c r="JM38" s="19"/>
      <c r="JN38" s="19"/>
      <c r="JO38" s="19"/>
      <c r="JP38" s="19"/>
      <c r="JQ38" s="19"/>
      <c r="JR38" s="19"/>
      <c r="JS38" s="19"/>
      <c r="JT38" s="19"/>
      <c r="JU38" s="19"/>
    </row>
    <row r="39" spans="1:281" s="2" customFormat="1" ht="30" customHeight="1" thickBot="1" x14ac:dyDescent="0.3">
      <c r="A39" s="32"/>
      <c r="B39" s="53" t="s">
        <v>46</v>
      </c>
      <c r="C39" s="58" t="s">
        <v>32</v>
      </c>
      <c r="D39" s="15">
        <v>0</v>
      </c>
      <c r="E39" s="44">
        <v>46266</v>
      </c>
      <c r="F39" s="44">
        <v>46295</v>
      </c>
      <c r="G39" s="10"/>
      <c r="H39" s="10"/>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c r="IG39" s="19"/>
      <c r="IH39" s="19"/>
      <c r="II39" s="19"/>
      <c r="IJ39" s="19"/>
      <c r="IK39" s="19"/>
      <c r="IL39" s="19"/>
      <c r="IM39" s="19"/>
      <c r="IN39" s="19"/>
      <c r="IO39" s="19"/>
      <c r="IP39" s="19"/>
      <c r="IQ39" s="19"/>
      <c r="IR39" s="19"/>
      <c r="IS39" s="19"/>
      <c r="IT39" s="19"/>
      <c r="IU39" s="19"/>
      <c r="IV39" s="19"/>
      <c r="IW39" s="19"/>
      <c r="IX39" s="19"/>
      <c r="IY39" s="19"/>
      <c r="IZ39" s="19"/>
      <c r="JA39" s="19"/>
      <c r="JB39" s="19"/>
      <c r="JC39" s="19"/>
      <c r="JD39" s="19"/>
      <c r="JE39" s="19"/>
      <c r="JF39" s="19"/>
      <c r="JG39" s="19"/>
      <c r="JH39" s="19"/>
      <c r="JI39" s="19"/>
      <c r="JJ39" s="19"/>
      <c r="JK39" s="19"/>
      <c r="JL39" s="19"/>
      <c r="JM39" s="19"/>
      <c r="JN39" s="19"/>
      <c r="JO39" s="19"/>
      <c r="JP39" s="19"/>
      <c r="JQ39" s="19"/>
      <c r="JR39" s="19"/>
      <c r="JS39" s="19"/>
      <c r="JT39" s="19"/>
      <c r="JU39" s="19"/>
    </row>
    <row r="40" spans="1:281" s="2" customFormat="1" ht="30" customHeight="1" thickBot="1" x14ac:dyDescent="0.3">
      <c r="A40" s="32"/>
      <c r="B40" s="53" t="s">
        <v>47</v>
      </c>
      <c r="C40" s="58" t="s">
        <v>33</v>
      </c>
      <c r="D40" s="15">
        <v>0</v>
      </c>
      <c r="E40" s="44">
        <v>46266</v>
      </c>
      <c r="F40" s="44">
        <v>46295</v>
      </c>
      <c r="G40" s="10"/>
      <c r="H40" s="10"/>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c r="HC40" s="19"/>
      <c r="HD40" s="19"/>
      <c r="HE40" s="19"/>
      <c r="HF40" s="19"/>
      <c r="HG40" s="19"/>
      <c r="HH40" s="19"/>
      <c r="HI40" s="19"/>
      <c r="HJ40" s="19"/>
      <c r="HK40" s="19"/>
      <c r="HL40" s="19"/>
      <c r="HM40" s="19"/>
      <c r="HN40" s="19"/>
      <c r="HO40" s="19"/>
      <c r="HP40" s="19"/>
      <c r="HQ40" s="19"/>
      <c r="HR40" s="19"/>
      <c r="HS40" s="19"/>
      <c r="HT40" s="19"/>
      <c r="HU40" s="19"/>
      <c r="HV40" s="19"/>
      <c r="HW40" s="19"/>
      <c r="HX40" s="19"/>
      <c r="HY40" s="19"/>
      <c r="HZ40" s="19"/>
      <c r="IA40" s="19"/>
      <c r="IB40" s="19"/>
      <c r="IC40" s="19"/>
      <c r="ID40" s="19"/>
      <c r="IE40" s="19"/>
      <c r="IF40" s="19"/>
      <c r="IG40" s="19"/>
      <c r="IH40" s="19"/>
      <c r="II40" s="19"/>
      <c r="IJ40" s="19"/>
      <c r="IK40" s="19"/>
      <c r="IL40" s="19"/>
      <c r="IM40" s="19"/>
      <c r="IN40" s="19"/>
      <c r="IO40" s="19"/>
      <c r="IP40" s="19"/>
      <c r="IQ40" s="19"/>
      <c r="IR40" s="19"/>
      <c r="IS40" s="19"/>
      <c r="IT40" s="19"/>
      <c r="IU40" s="19"/>
      <c r="IV40" s="19"/>
      <c r="IW40" s="19"/>
      <c r="IX40" s="19"/>
      <c r="IY40" s="19"/>
      <c r="IZ40" s="19"/>
      <c r="JA40" s="19"/>
      <c r="JB40" s="19"/>
      <c r="JC40" s="19"/>
      <c r="JD40" s="19"/>
      <c r="JE40" s="19"/>
      <c r="JF40" s="19"/>
      <c r="JG40" s="19"/>
      <c r="JH40" s="19"/>
      <c r="JI40" s="19"/>
      <c r="JJ40" s="19"/>
      <c r="JK40" s="19"/>
      <c r="JL40" s="19"/>
      <c r="JM40" s="19"/>
      <c r="JN40" s="19"/>
      <c r="JO40" s="19"/>
      <c r="JP40" s="19"/>
      <c r="JQ40" s="19"/>
      <c r="JR40" s="19"/>
      <c r="JS40" s="19"/>
      <c r="JT40" s="19"/>
      <c r="JU40" s="19"/>
    </row>
    <row r="41" spans="1:281" s="2" customFormat="1" ht="30" customHeight="1" thickBot="1" x14ac:dyDescent="0.3">
      <c r="A41" s="32"/>
      <c r="B41" s="53" t="s">
        <v>48</v>
      </c>
      <c r="C41" s="58" t="s">
        <v>33</v>
      </c>
      <c r="D41" s="15">
        <v>0</v>
      </c>
      <c r="E41" s="44">
        <v>46266</v>
      </c>
      <c r="F41" s="44">
        <v>46295</v>
      </c>
      <c r="G41" s="10"/>
      <c r="H41" s="10"/>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c r="GY41" s="19"/>
      <c r="GZ41" s="19"/>
      <c r="HA41" s="19"/>
      <c r="HB41" s="19"/>
      <c r="HC41" s="19"/>
      <c r="HD41" s="19"/>
      <c r="HE41" s="19"/>
      <c r="HF41" s="19"/>
      <c r="HG41" s="19"/>
      <c r="HH41" s="19"/>
      <c r="HI41" s="19"/>
      <c r="HJ41" s="19"/>
      <c r="HK41" s="19"/>
      <c r="HL41" s="19"/>
      <c r="HM41" s="19"/>
      <c r="HN41" s="19"/>
      <c r="HO41" s="19"/>
      <c r="HP41" s="19"/>
      <c r="HQ41" s="19"/>
      <c r="HR41" s="19"/>
      <c r="HS41" s="19"/>
      <c r="HT41" s="19"/>
      <c r="HU41" s="19"/>
      <c r="HV41" s="19"/>
      <c r="HW41" s="19"/>
      <c r="HX41" s="19"/>
      <c r="HY41" s="19"/>
      <c r="HZ41" s="19"/>
      <c r="IA41" s="19"/>
      <c r="IB41" s="19"/>
      <c r="IC41" s="19"/>
      <c r="ID41" s="19"/>
      <c r="IE41" s="19"/>
      <c r="IF41" s="19"/>
      <c r="IG41" s="19"/>
      <c r="IH41" s="19"/>
      <c r="II41" s="19"/>
      <c r="IJ41" s="19"/>
      <c r="IK41" s="19"/>
      <c r="IL41" s="19"/>
      <c r="IM41" s="19"/>
      <c r="IN41" s="19"/>
      <c r="IO41" s="19"/>
      <c r="IP41" s="19"/>
      <c r="IQ41" s="19"/>
      <c r="IR41" s="19"/>
      <c r="IS41" s="19"/>
      <c r="IT41" s="19"/>
      <c r="IU41" s="19"/>
      <c r="IV41" s="19"/>
      <c r="IW41" s="19"/>
      <c r="IX41" s="19"/>
      <c r="IY41" s="19"/>
      <c r="IZ41" s="19"/>
      <c r="JA41" s="19"/>
      <c r="JB41" s="19"/>
      <c r="JC41" s="19"/>
      <c r="JD41" s="19"/>
      <c r="JE41" s="19"/>
      <c r="JF41" s="19"/>
      <c r="JG41" s="19"/>
      <c r="JH41" s="19"/>
      <c r="JI41" s="19"/>
      <c r="JJ41" s="19"/>
      <c r="JK41" s="19"/>
      <c r="JL41" s="19"/>
      <c r="JM41" s="19"/>
      <c r="JN41" s="19"/>
      <c r="JO41" s="19"/>
      <c r="JP41" s="19"/>
      <c r="JQ41" s="19"/>
      <c r="JR41" s="19"/>
      <c r="JS41" s="19"/>
      <c r="JT41" s="19"/>
      <c r="JU41" s="19"/>
    </row>
    <row r="42" spans="1:281" s="2" customFormat="1" ht="30" customHeight="1" thickBot="1" x14ac:dyDescent="0.3">
      <c r="A42" s="32"/>
      <c r="B42" s="53" t="s">
        <v>49</v>
      </c>
      <c r="C42" s="58" t="s">
        <v>34</v>
      </c>
      <c r="D42" s="15">
        <v>0</v>
      </c>
      <c r="E42" s="44">
        <v>46266</v>
      </c>
      <c r="F42" s="44">
        <v>46295</v>
      </c>
      <c r="G42" s="10"/>
      <c r="H42" s="10"/>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19"/>
      <c r="HG42" s="19"/>
      <c r="HH42" s="19"/>
      <c r="HI42" s="19"/>
      <c r="HJ42" s="19"/>
      <c r="HK42" s="19"/>
      <c r="HL42" s="19"/>
      <c r="HM42" s="19"/>
      <c r="HN42" s="19"/>
      <c r="HO42" s="19"/>
      <c r="HP42" s="19"/>
      <c r="HQ42" s="19"/>
      <c r="HR42" s="19"/>
      <c r="HS42" s="19"/>
      <c r="HT42" s="19"/>
      <c r="HU42" s="19"/>
      <c r="HV42" s="19"/>
      <c r="HW42" s="19"/>
      <c r="HX42" s="19"/>
      <c r="HY42" s="19"/>
      <c r="HZ42" s="19"/>
      <c r="IA42" s="19"/>
      <c r="IB42" s="19"/>
      <c r="IC42" s="19"/>
      <c r="ID42" s="19"/>
      <c r="IE42" s="19"/>
      <c r="IF42" s="19"/>
      <c r="IG42" s="19"/>
      <c r="IH42" s="19"/>
      <c r="II42" s="19"/>
      <c r="IJ42" s="19"/>
      <c r="IK42" s="19"/>
      <c r="IL42" s="19"/>
      <c r="IM42" s="19"/>
      <c r="IN42" s="19"/>
      <c r="IO42" s="19"/>
      <c r="IP42" s="19"/>
      <c r="IQ42" s="19"/>
      <c r="IR42" s="19"/>
      <c r="IS42" s="19"/>
      <c r="IT42" s="19"/>
      <c r="IU42" s="19"/>
      <c r="IV42" s="19"/>
      <c r="IW42" s="19"/>
      <c r="IX42" s="19"/>
      <c r="IY42" s="19"/>
      <c r="IZ42" s="19"/>
      <c r="JA42" s="19"/>
      <c r="JB42" s="19"/>
      <c r="JC42" s="19"/>
      <c r="JD42" s="19"/>
      <c r="JE42" s="19"/>
      <c r="JF42" s="19"/>
      <c r="JG42" s="19"/>
      <c r="JH42" s="19"/>
      <c r="JI42" s="19"/>
      <c r="JJ42" s="19"/>
      <c r="JK42" s="19"/>
      <c r="JL42" s="19"/>
      <c r="JM42" s="19"/>
      <c r="JN42" s="19"/>
      <c r="JO42" s="19"/>
      <c r="JP42" s="19"/>
      <c r="JQ42" s="19"/>
      <c r="JR42" s="19"/>
      <c r="JS42" s="19"/>
      <c r="JT42" s="19"/>
      <c r="JU42" s="19"/>
    </row>
    <row r="43" spans="1:281" s="2" customFormat="1" ht="30" customHeight="1" thickBot="1" x14ac:dyDescent="0.3">
      <c r="A43" s="32"/>
      <c r="B43" s="53" t="s">
        <v>50</v>
      </c>
      <c r="C43" s="58" t="s">
        <v>32</v>
      </c>
      <c r="D43" s="15">
        <v>0</v>
      </c>
      <c r="E43" s="44">
        <v>46266</v>
      </c>
      <c r="F43" s="44">
        <v>46295</v>
      </c>
      <c r="G43" s="10"/>
      <c r="H43" s="10"/>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c r="HC43" s="19"/>
      <c r="HD43" s="19"/>
      <c r="HE43" s="19"/>
      <c r="HF43" s="19"/>
      <c r="HG43" s="19"/>
      <c r="HH43" s="19"/>
      <c r="HI43" s="19"/>
      <c r="HJ43" s="19"/>
      <c r="HK43" s="19"/>
      <c r="HL43" s="19"/>
      <c r="HM43" s="19"/>
      <c r="HN43" s="19"/>
      <c r="HO43" s="19"/>
      <c r="HP43" s="19"/>
      <c r="HQ43" s="19"/>
      <c r="HR43" s="19"/>
      <c r="HS43" s="19"/>
      <c r="HT43" s="19"/>
      <c r="HU43" s="19"/>
      <c r="HV43" s="19"/>
      <c r="HW43" s="19"/>
      <c r="HX43" s="19"/>
      <c r="HY43" s="19"/>
      <c r="HZ43" s="19"/>
      <c r="IA43" s="19"/>
      <c r="IB43" s="19"/>
      <c r="IC43" s="19"/>
      <c r="ID43" s="19"/>
      <c r="IE43" s="19"/>
      <c r="IF43" s="19"/>
      <c r="IG43" s="19"/>
      <c r="IH43" s="19"/>
      <c r="II43" s="19"/>
      <c r="IJ43" s="19"/>
      <c r="IK43" s="19"/>
      <c r="IL43" s="19"/>
      <c r="IM43" s="19"/>
      <c r="IN43" s="19"/>
      <c r="IO43" s="19"/>
      <c r="IP43" s="19"/>
      <c r="IQ43" s="19"/>
      <c r="IR43" s="19"/>
      <c r="IS43" s="19"/>
      <c r="IT43" s="19"/>
      <c r="IU43" s="19"/>
      <c r="IV43" s="19"/>
      <c r="IW43" s="19"/>
      <c r="IX43" s="19"/>
      <c r="IY43" s="19"/>
      <c r="IZ43" s="19"/>
      <c r="JA43" s="19"/>
      <c r="JB43" s="19"/>
      <c r="JC43" s="19"/>
      <c r="JD43" s="19"/>
      <c r="JE43" s="19"/>
      <c r="JF43" s="19"/>
      <c r="JG43" s="19"/>
      <c r="JH43" s="19"/>
      <c r="JI43" s="19"/>
      <c r="JJ43" s="19"/>
      <c r="JK43" s="19"/>
      <c r="JL43" s="19"/>
      <c r="JM43" s="19"/>
      <c r="JN43" s="19"/>
      <c r="JO43" s="19"/>
      <c r="JP43" s="19"/>
      <c r="JQ43" s="19"/>
      <c r="JR43" s="19"/>
      <c r="JS43" s="19"/>
      <c r="JT43" s="19"/>
      <c r="JU43" s="19"/>
    </row>
    <row r="44" spans="1:281" s="2" customFormat="1" ht="30" customHeight="1" thickBot="1" x14ac:dyDescent="0.3">
      <c r="A44" s="32"/>
      <c r="B44" s="53" t="s">
        <v>52</v>
      </c>
      <c r="C44" s="58" t="s">
        <v>36</v>
      </c>
      <c r="D44" s="15">
        <v>0</v>
      </c>
      <c r="E44" s="44">
        <v>46296</v>
      </c>
      <c r="F44" s="44">
        <v>46326</v>
      </c>
      <c r="G44" s="10"/>
      <c r="H44" s="10"/>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c r="GY44" s="19"/>
      <c r="GZ44" s="19"/>
      <c r="HA44" s="19"/>
      <c r="HB44" s="19"/>
      <c r="HC44" s="19"/>
      <c r="HD44" s="19"/>
      <c r="HE44" s="19"/>
      <c r="HF44" s="19"/>
      <c r="HG44" s="19"/>
      <c r="HH44" s="19"/>
      <c r="HI44" s="19"/>
      <c r="HJ44" s="19"/>
      <c r="HK44" s="19"/>
      <c r="HL44" s="19"/>
      <c r="HM44" s="19"/>
      <c r="HN44" s="19"/>
      <c r="HO44" s="19"/>
      <c r="HP44" s="19"/>
      <c r="HQ44" s="19"/>
      <c r="HR44" s="19"/>
      <c r="HS44" s="19"/>
      <c r="HT44" s="19"/>
      <c r="HU44" s="19"/>
      <c r="HV44" s="19"/>
      <c r="HW44" s="19"/>
      <c r="HX44" s="19"/>
      <c r="HY44" s="19"/>
      <c r="HZ44" s="19"/>
      <c r="IA44" s="19"/>
      <c r="IB44" s="19"/>
      <c r="IC44" s="19"/>
      <c r="ID44" s="19"/>
      <c r="IE44" s="19"/>
      <c r="IF44" s="19"/>
      <c r="IG44" s="19"/>
      <c r="IH44" s="19"/>
      <c r="II44" s="19"/>
      <c r="IJ44" s="19"/>
      <c r="IK44" s="19"/>
      <c r="IL44" s="19"/>
      <c r="IM44" s="19"/>
      <c r="IN44" s="19"/>
      <c r="IO44" s="19"/>
      <c r="IP44" s="19"/>
      <c r="IQ44" s="19"/>
      <c r="IR44" s="19"/>
      <c r="IS44" s="19"/>
      <c r="IT44" s="19"/>
      <c r="IU44" s="19"/>
      <c r="IV44" s="19"/>
      <c r="IW44" s="19"/>
      <c r="IX44" s="19"/>
      <c r="IY44" s="19"/>
      <c r="IZ44" s="19"/>
      <c r="JA44" s="19"/>
      <c r="JB44" s="19"/>
      <c r="JC44" s="19"/>
      <c r="JD44" s="19"/>
      <c r="JE44" s="19"/>
      <c r="JF44" s="19"/>
      <c r="JG44" s="19"/>
      <c r="JH44" s="19"/>
      <c r="JI44" s="19"/>
      <c r="JJ44" s="19"/>
      <c r="JK44" s="19"/>
      <c r="JL44" s="19"/>
      <c r="JM44" s="19"/>
      <c r="JN44" s="19"/>
      <c r="JO44" s="19"/>
      <c r="JP44" s="19"/>
      <c r="JQ44" s="19"/>
      <c r="JR44" s="19"/>
      <c r="JS44" s="19"/>
      <c r="JT44" s="19"/>
      <c r="JU44" s="19"/>
    </row>
    <row r="45" spans="1:281" s="2" customFormat="1" ht="30" customHeight="1" thickBot="1" x14ac:dyDescent="0.3">
      <c r="A45" s="31" t="s">
        <v>6</v>
      </c>
      <c r="B45" s="36"/>
      <c r="C45" s="59"/>
      <c r="D45" s="9"/>
      <c r="E45" s="45"/>
      <c r="F45" s="45"/>
      <c r="G45" s="10"/>
      <c r="H45" s="10" t="str">
        <f t="shared" si="165"/>
        <v/>
      </c>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9"/>
      <c r="HC45" s="19"/>
      <c r="HD45" s="19"/>
      <c r="HE45" s="19"/>
      <c r="HF45" s="19"/>
      <c r="HG45" s="19"/>
      <c r="HH45" s="19"/>
      <c r="HI45" s="19"/>
      <c r="HJ45" s="19"/>
      <c r="HK45" s="19"/>
      <c r="HL45" s="19"/>
      <c r="HM45" s="19"/>
      <c r="HN45" s="19"/>
      <c r="HO45" s="19"/>
      <c r="HP45" s="19"/>
      <c r="HQ45" s="19"/>
      <c r="HR45" s="19"/>
      <c r="HS45" s="19"/>
      <c r="HT45" s="19"/>
      <c r="HU45" s="19"/>
      <c r="HV45" s="19"/>
      <c r="HW45" s="19"/>
      <c r="HX45" s="19"/>
      <c r="HY45" s="19"/>
      <c r="HZ45" s="19"/>
      <c r="IA45" s="19"/>
      <c r="IB45" s="19"/>
      <c r="IC45" s="19"/>
      <c r="ID45" s="19"/>
      <c r="IE45" s="19"/>
      <c r="IF45" s="19"/>
      <c r="IG45" s="19"/>
      <c r="IH45" s="19"/>
      <c r="II45" s="19"/>
      <c r="IJ45" s="19"/>
      <c r="IK45" s="19"/>
      <c r="IL45" s="19"/>
      <c r="IM45" s="19"/>
      <c r="IN45" s="19"/>
      <c r="IO45" s="19"/>
      <c r="IP45" s="19"/>
      <c r="IQ45" s="19"/>
      <c r="IR45" s="19"/>
      <c r="IS45" s="19"/>
      <c r="IT45" s="19"/>
      <c r="IU45" s="19"/>
      <c r="IV45" s="19"/>
      <c r="IW45" s="19"/>
      <c r="IX45" s="19"/>
      <c r="IY45" s="19"/>
      <c r="IZ45" s="19"/>
      <c r="JA45" s="19"/>
      <c r="JB45" s="19"/>
      <c r="JC45" s="19"/>
      <c r="JD45" s="19"/>
      <c r="JE45" s="19"/>
      <c r="JF45" s="19"/>
      <c r="JG45" s="19"/>
      <c r="JH45" s="19"/>
      <c r="JI45" s="19"/>
      <c r="JJ45" s="19"/>
      <c r="JK45" s="19"/>
      <c r="JL45" s="19"/>
      <c r="JM45" s="19"/>
      <c r="JN45" s="19"/>
      <c r="JO45" s="19"/>
      <c r="JP45" s="19"/>
      <c r="JQ45" s="19"/>
      <c r="JR45" s="19"/>
      <c r="JS45" s="19"/>
      <c r="JT45" s="19"/>
      <c r="JU45" s="19"/>
    </row>
    <row r="46" spans="1:281" s="2" customFormat="1" ht="30" customHeight="1" thickBot="1" x14ac:dyDescent="0.3">
      <c r="A46" s="32" t="s">
        <v>7</v>
      </c>
      <c r="B46" s="16" t="s">
        <v>9</v>
      </c>
      <c r="C46" s="60"/>
      <c r="D46" s="17"/>
      <c r="E46" s="46"/>
      <c r="F46" s="47"/>
      <c r="G46" s="18"/>
      <c r="H46" s="18" t="str">
        <f t="shared" si="165"/>
        <v/>
      </c>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c r="DB46" s="20"/>
      <c r="DC46" s="20"/>
      <c r="DD46" s="20"/>
      <c r="DE46" s="20"/>
      <c r="DF46" s="20"/>
      <c r="DG46" s="20"/>
      <c r="DH46" s="20"/>
      <c r="DI46" s="20"/>
      <c r="DJ46" s="20"/>
      <c r="DK46" s="20"/>
      <c r="DL46" s="20"/>
      <c r="DM46" s="20"/>
      <c r="DN46" s="20"/>
      <c r="DO46" s="20"/>
      <c r="DP46" s="20"/>
      <c r="DQ46" s="20"/>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c r="ES46" s="20"/>
      <c r="ET46" s="20"/>
      <c r="EU46" s="20"/>
      <c r="EV46" s="20"/>
      <c r="EW46" s="20"/>
      <c r="EX46" s="20"/>
      <c r="EY46" s="20"/>
      <c r="EZ46" s="20"/>
      <c r="FA46" s="20"/>
      <c r="FB46" s="20"/>
      <c r="FC46" s="20"/>
      <c r="FD46" s="20"/>
      <c r="FE46" s="20"/>
      <c r="FF46" s="20"/>
      <c r="FG46" s="20"/>
      <c r="FH46" s="20"/>
      <c r="FI46" s="20"/>
      <c r="FJ46" s="20"/>
      <c r="FK46" s="20"/>
      <c r="FL46" s="20"/>
      <c r="FM46" s="20"/>
      <c r="FN46" s="20"/>
      <c r="FO46" s="20"/>
      <c r="FP46" s="20"/>
      <c r="FQ46" s="20"/>
      <c r="FR46" s="20"/>
      <c r="FS46" s="20"/>
      <c r="FT46" s="20"/>
      <c r="FU46" s="20"/>
      <c r="FV46" s="20"/>
      <c r="FW46" s="20"/>
      <c r="FX46" s="20"/>
      <c r="FY46" s="20"/>
      <c r="FZ46" s="20"/>
      <c r="GA46" s="20"/>
      <c r="GB46" s="20"/>
      <c r="GC46" s="20"/>
      <c r="GD46" s="20"/>
      <c r="GE46" s="20"/>
      <c r="GF46" s="20"/>
      <c r="GG46" s="20"/>
      <c r="GH46" s="20"/>
      <c r="GI46" s="20"/>
      <c r="GJ46" s="20"/>
      <c r="GK46" s="20"/>
      <c r="GL46" s="20"/>
      <c r="GM46" s="20"/>
      <c r="GN46" s="20"/>
      <c r="GO46" s="20"/>
      <c r="GP46" s="20"/>
      <c r="GQ46" s="20"/>
      <c r="GR46" s="20"/>
      <c r="GS46" s="20"/>
      <c r="GT46" s="20"/>
      <c r="GU46" s="20"/>
      <c r="GV46" s="20"/>
      <c r="GW46" s="20"/>
      <c r="GX46" s="20"/>
      <c r="GY46" s="20"/>
      <c r="GZ46" s="20"/>
      <c r="HA46" s="20"/>
      <c r="HB46" s="20"/>
      <c r="HC46" s="20"/>
      <c r="HD46" s="20"/>
      <c r="HE46" s="20"/>
      <c r="HF46" s="20"/>
      <c r="HG46" s="20"/>
      <c r="HH46" s="20"/>
      <c r="HI46" s="20"/>
      <c r="HJ46" s="20"/>
      <c r="HK46" s="20"/>
      <c r="HL46" s="20"/>
      <c r="HM46" s="20"/>
      <c r="HN46" s="20"/>
      <c r="HO46" s="20"/>
      <c r="HP46" s="20"/>
      <c r="HQ46" s="20"/>
      <c r="HR46" s="20"/>
      <c r="HS46" s="20"/>
      <c r="HT46" s="20"/>
      <c r="HU46" s="20"/>
      <c r="HV46" s="20"/>
      <c r="HW46" s="20"/>
      <c r="HX46" s="20"/>
      <c r="HY46" s="20"/>
      <c r="HZ46" s="20"/>
      <c r="IA46" s="20"/>
      <c r="IB46" s="20"/>
      <c r="IC46" s="20"/>
      <c r="ID46" s="20"/>
      <c r="IE46" s="20"/>
      <c r="IF46" s="20"/>
      <c r="IG46" s="20"/>
      <c r="IH46" s="20"/>
      <c r="II46" s="20"/>
      <c r="IJ46" s="20"/>
      <c r="IK46" s="20"/>
      <c r="IL46" s="20"/>
      <c r="IM46" s="20"/>
      <c r="IN46" s="20"/>
      <c r="IO46" s="20"/>
      <c r="IP46" s="20"/>
      <c r="IQ46" s="20"/>
      <c r="IR46" s="20"/>
      <c r="IS46" s="20"/>
      <c r="IT46" s="20"/>
      <c r="IU46" s="20"/>
      <c r="IV46" s="20"/>
      <c r="IW46" s="20"/>
      <c r="IX46" s="20"/>
      <c r="IY46" s="20"/>
      <c r="IZ46" s="20"/>
      <c r="JA46" s="20"/>
      <c r="JB46" s="20"/>
      <c r="JC46" s="20"/>
      <c r="JD46" s="20"/>
      <c r="JE46" s="20"/>
      <c r="JF46" s="20"/>
      <c r="JG46" s="20"/>
      <c r="JH46" s="20"/>
      <c r="JI46" s="20"/>
      <c r="JJ46" s="20"/>
      <c r="JK46" s="20"/>
      <c r="JL46" s="20"/>
      <c r="JM46" s="20"/>
      <c r="JN46" s="20"/>
      <c r="JO46" s="20"/>
      <c r="JP46" s="20"/>
      <c r="JQ46" s="20"/>
      <c r="JR46" s="20"/>
      <c r="JS46" s="20"/>
      <c r="JT46" s="20"/>
      <c r="JU46" s="20"/>
    </row>
    <row r="47" spans="1:281" ht="30" customHeight="1" x14ac:dyDescent="0.25">
      <c r="G47" s="4"/>
    </row>
    <row r="48" spans="1:281" ht="30" customHeight="1" x14ac:dyDescent="0.25">
      <c r="C48" s="61"/>
      <c r="F48" s="33"/>
    </row>
    <row r="49" spans="3:3" ht="30" customHeight="1" x14ac:dyDescent="0.25">
      <c r="C49" s="62"/>
    </row>
  </sheetData>
  <mergeCells count="42">
    <mergeCell ref="BF2:BL2"/>
    <mergeCell ref="E1:F1"/>
    <mergeCell ref="I2:O2"/>
    <mergeCell ref="P2:V2"/>
    <mergeCell ref="W2:AC2"/>
    <mergeCell ref="AD2:AJ2"/>
    <mergeCell ref="C1:D1"/>
    <mergeCell ref="C2:D2"/>
    <mergeCell ref="AK2:AQ2"/>
    <mergeCell ref="AR2:AX2"/>
    <mergeCell ref="AY2:BE2"/>
    <mergeCell ref="CV2:DB2"/>
    <mergeCell ref="DC2:DI2"/>
    <mergeCell ref="BM2:BS2"/>
    <mergeCell ref="BT2:BZ2"/>
    <mergeCell ref="CA2:CG2"/>
    <mergeCell ref="CH2:CN2"/>
    <mergeCell ref="CO2:CU2"/>
    <mergeCell ref="DJ2:DP2"/>
    <mergeCell ref="DQ2:DW2"/>
    <mergeCell ref="DX2:ED2"/>
    <mergeCell ref="EE2:EK2"/>
    <mergeCell ref="EL2:ER2"/>
    <mergeCell ref="ES2:EY2"/>
    <mergeCell ref="EZ2:FF2"/>
    <mergeCell ref="FG2:FM2"/>
    <mergeCell ref="FN2:FT2"/>
    <mergeCell ref="FU2:GA2"/>
    <mergeCell ref="GB2:GH2"/>
    <mergeCell ref="GI2:GO2"/>
    <mergeCell ref="GP2:GV2"/>
    <mergeCell ref="GW2:HC2"/>
    <mergeCell ref="HD2:HJ2"/>
    <mergeCell ref="IT2:IZ2"/>
    <mergeCell ref="JA2:JG2"/>
    <mergeCell ref="JH2:JN2"/>
    <mergeCell ref="JO2:JU2"/>
    <mergeCell ref="HK2:HQ2"/>
    <mergeCell ref="HR2:HX2"/>
    <mergeCell ref="HY2:IE2"/>
    <mergeCell ref="IF2:IL2"/>
    <mergeCell ref="IM2:IS2"/>
  </mergeCells>
  <conditionalFormatting sqref="D5:D46">
    <cfRule type="dataBar" priority="71">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3:JU46">
    <cfRule type="expression" dxfId="2" priority="39">
      <formula>AND(TODAY()&gt;=I$3,TODAY()&lt;J$3)</formula>
    </cfRule>
  </conditionalFormatting>
  <conditionalFormatting sqref="I5:JU46">
    <cfRule type="expression" dxfId="1" priority="37">
      <formula>AND(Início_da_tarefa&lt;=I$3,ROUNDDOWN((Término_da_tarefa-Início_da_tarefa+1)*Progresso_da_tarefa,0)+Início_da_tarefa-1&gt;=I$3)</formula>
    </cfRule>
    <cfRule type="expression" dxfId="0" priority="38" stopIfTrue="1">
      <formula>AND(Término_da_tarefa&gt;=I$3,Início_da_tarefa&lt;J$3)</formula>
    </cfRule>
  </conditionalFormatting>
  <dataValidations count="1">
    <dataValidation type="whole" operator="greaterThanOrEqual" allowBlank="1" showInputMessage="1" promptTitle="Semana de exibição" prompt="Alterar esse número rola a exibição do Gráfico de Gantt." sqref="E2"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D5:D46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7" zoomScaleNormal="100" workbookViewId="0"/>
  </sheetViews>
  <sheetFormatPr defaultColWidth="9.140625" defaultRowHeight="12.75" x14ac:dyDescent="0.2"/>
  <cols>
    <col min="1" max="1" width="94.42578125" style="21" customWidth="1"/>
    <col min="2" max="16384" width="9.140625" style="1"/>
  </cols>
  <sheetData>
    <row r="1" spans="1:2" ht="46.5" customHeight="1" x14ac:dyDescent="0.2"/>
    <row r="2" spans="1:2" s="23" customFormat="1" ht="15.75" x14ac:dyDescent="0.25">
      <c r="A2" s="22" t="s">
        <v>17</v>
      </c>
      <c r="B2" s="22"/>
    </row>
    <row r="3" spans="1:2" s="27" customFormat="1" ht="27" customHeight="1" x14ac:dyDescent="0.25">
      <c r="A3" s="38" t="s">
        <v>18</v>
      </c>
      <c r="B3" s="28"/>
    </row>
    <row r="4" spans="1:2" s="24" customFormat="1" ht="26.25" x14ac:dyDescent="0.4">
      <c r="A4" s="25" t="s">
        <v>19</v>
      </c>
    </row>
    <row r="5" spans="1:2" ht="74.099999999999994" customHeight="1" x14ac:dyDescent="0.2">
      <c r="A5" s="26" t="s">
        <v>20</v>
      </c>
    </row>
    <row r="6" spans="1:2" ht="26.25" customHeight="1" x14ac:dyDescent="0.2">
      <c r="A6" s="25" t="s">
        <v>21</v>
      </c>
    </row>
    <row r="7" spans="1:2" s="21" customFormat="1" ht="204.95" customHeight="1" x14ac:dyDescent="0.25">
      <c r="A7" s="30" t="s">
        <v>22</v>
      </c>
    </row>
    <row r="8" spans="1:2" s="24" customFormat="1" ht="26.25" x14ac:dyDescent="0.4">
      <c r="A8" s="25" t="s">
        <v>23</v>
      </c>
    </row>
    <row r="9" spans="1:2" ht="60" x14ac:dyDescent="0.2">
      <c r="A9" s="26" t="s">
        <v>24</v>
      </c>
    </row>
    <row r="10" spans="1:2" s="21" customFormat="1" ht="27.95" customHeight="1" x14ac:dyDescent="0.25">
      <c r="A10" s="29" t="s">
        <v>25</v>
      </c>
    </row>
    <row r="11" spans="1:2" s="24" customFormat="1" ht="26.25" x14ac:dyDescent="0.4">
      <c r="A11" s="25" t="s">
        <v>26</v>
      </c>
    </row>
    <row r="12" spans="1:2" ht="30" x14ac:dyDescent="0.2">
      <c r="A12" s="26" t="s">
        <v>27</v>
      </c>
    </row>
    <row r="13" spans="1:2" s="21" customFormat="1" ht="27.95" customHeight="1" x14ac:dyDescent="0.25">
      <c r="A13" s="29" t="s">
        <v>28</v>
      </c>
    </row>
    <row r="14" spans="1:2" s="24" customFormat="1" ht="26.25" x14ac:dyDescent="0.4">
      <c r="A14" s="25" t="s">
        <v>29</v>
      </c>
    </row>
    <row r="15" spans="1:2" ht="75" customHeight="1" x14ac:dyDescent="0.2">
      <c r="A15" s="26" t="s">
        <v>30</v>
      </c>
    </row>
    <row r="16" spans="1:2" ht="75" customHeight="1" x14ac:dyDescent="0.2">
      <c r="A16" s="26" t="s">
        <v>31</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sharepoint/v3"/>
    <ds:schemaRef ds:uri="71af3243-3dd4-4a8d-8c0d-dd76da1f02a5"/>
    <ds:schemaRef ds:uri="16c05727-aa75-4e4a-9b5f-8a80a1165891"/>
    <ds:schemaRef ds:uri="230e9df3-be65-4c73-a93b-d1236ebd677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www.w3.org/2000/xmlns/"/>
    <ds:schemaRef ds:uri="http://schemas.microsoft.com/sharepoint/v3"/>
    <ds:schemaRef ds:uri="http://www.w3.org/2001/XMLSchema-instance"/>
    <ds:schemaRef ds:uri="71af3243-3dd4-4a8d-8c0d-dd76da1f02a5"/>
    <ds:schemaRef ds:uri="http://schemas.microsoft.com/office/infopath/2007/PartnerControls"/>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2</vt:i4>
      </vt:variant>
      <vt:variant>
        <vt:lpstr>Intervalos Nomeados</vt:lpstr>
      </vt:variant>
      <vt:variant>
        <vt:i4>6</vt:i4>
      </vt:variant>
    </vt:vector>
  </HeadingPairs>
  <TitlesOfParts>
    <vt:vector size="8" baseType="lpstr">
      <vt:lpstr>CronogramaDeProjeto</vt:lpstr>
      <vt:lpstr>Sobre</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2026-04-27T22:19:36Z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